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b92749b51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8905aa87a864334"/>
    <x:sheet xmlns:r="http://schemas.openxmlformats.org/officeDocument/2006/relationships" name="Implementation Tracker" sheetId="2" r:id="R0e52be91f19e4c82"/>
    <x:sheet xmlns:r="http://schemas.openxmlformats.org/officeDocument/2006/relationships" name="Phase Gates" sheetId="3" r:id="Rccd233648a764eb9"/>
    <x:sheet xmlns:r="http://schemas.openxmlformats.org/officeDocument/2006/relationships" name="Lists" sheetId="4" r:id="Ra294e32a7f1d4d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6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34F5C"/>
      </x:font>
      <x:fill>
        <x:patternFill patternType="solid">
          <x:bgColor rgb="FFD9EAF7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e03ec558349b6" /><Relationship Type="http://schemas.openxmlformats.org/officeDocument/2006/relationships/theme" Target="/xl/theme/theme1.xml" Id="R82c860ddf4b3440a" /><Relationship Type="http://schemas.openxmlformats.org/officeDocument/2006/relationships/sharedStrings" Target="/xl/sharedStrings.xml" Id="Rce241348d0e14600" /><Relationship Type="http://schemas.openxmlformats.org/officeDocument/2006/relationships/worksheet" Target="/xl/worksheets/sheet1.xml" Id="Rb8905aa87a864334" /><Relationship Type="http://schemas.openxmlformats.org/officeDocument/2006/relationships/worksheet" Target="/xl/worksheets/sheet2.xml" Id="R0e52be91f19e4c82" /><Relationship Type="http://schemas.openxmlformats.org/officeDocument/2006/relationships/worksheet" Target="/xl/worksheets/sheet3.xml" Id="Rccd233648a764eb9" /><Relationship Type="http://schemas.openxmlformats.org/officeDocument/2006/relationships/worksheet" Target="/xl/worksheets/sheet4.xml" Id="Ra294e32a7f1d4d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ce1719e1aa474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Completion %</c:v>
          </c:tx>
          <c:cat>
            <c:strRef>
              <c:f>='Dashboard'!$D$4:$D$16</c:f>
              <c:strCache>
                <c:ptCount val="0"/>
              </c:strCache>
            </c:strRef>
          </c:cat>
          <c:val>
            <c:numRef>
              <c:f>='Dashboard'!$H$4:$H$16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ce1719e1aa47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mplementationTasks" displayName="ImplementationTasks" ref="A1:Q170" headerRowCount="1" totalsRowCount="0" totalsRowShown="0">
  <x:tableColumns count="17">
    <x:tableColumn id="1" name="ID"/>
    <x:tableColumn id="2" name="Phase"/>
    <x:tableColumn id="3" name="Workstream"/>
    <x:tableColumn id="4" name="Implementation Task"/>
    <x:tableColumn id="5" name="Goal"/>
    <x:tableColumn id="6" name="What We Need to Build"/>
    <x:tableColumn id="7" name="How It Works"/>
    <x:tableColumn id="8" name="Dependencies"/>
    <x:tableColumn id="9" name="Tests / Validation"/>
    <x:tableColumn id="10" name="Expected Result"/>
    <x:tableColumn id="11" name="Definition of Done"/>
    <x:tableColumn id="12" name="Priority"/>
    <x:tableColumn id="13" name="Status"/>
    <x:tableColumn id="14" name="Owner"/>
    <x:tableColumn id="15" name="Evidence / Link"/>
    <x:tableColumn id="16" name="Notes / Blockers"/>
    <x:tableColumn id="17" name="Authority Doc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GatesTable" displayName="PhaseGatesTable" ref="A1:K14" headerRowCount="1" totalsRowCount="0" totalsRowShown="0">
  <x:tableColumns count="11">
    <x:tableColumn id="1" name="Phase"/>
    <x:tableColumn id="2" name="Phase Name"/>
    <x:tableColumn id="3" name="Primary Goal"/>
    <x:tableColumn id="4" name="Milestone"/>
    <x:tableColumn id="5" name="Total Tasks"/>
    <x:tableColumn id="6" name="Done"/>
    <x:tableColumn id="7" name="In Progress"/>
    <x:tableColumn id="8" name="Blocked"/>
    <x:tableColumn id="9" name="Completion %"/>
    <x:tableColumn id="10" name="Gate Result"/>
    <x:tableColumn id="11" name="Gate Eviden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2402f1a05a45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70dd712b4147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d750403e564c2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4" max="4" width="8" hidden="0" customWidth="1"/>
    <x:col min="5" max="5" width="34" hidden="0" customWidth="1"/>
    <x:col min="6" max="6" width="10" hidden="0" customWidth="1"/>
    <x:col min="7" max="7" width="10" hidden="0" customWidth="1"/>
    <x:col min="8" max="8" width="14" hidden="0" customWidth="1"/>
  </x:cols>
  <x:sheetData>
    <x:row r="1">
      <x:c r="A1" s="23" t="str">
        <x:v>Hippocampus v1 — Implementation Tracker</x:v>
      </x:c>
      <x:c r="B1" s="23"/>
      <x:c r="C1" s="23"/>
      <x:c r="D1" s="23"/>
      <x:c r="E1" s="23"/>
      <x:c r="F1" s="23"/>
      <x:c r="G1" s="23"/>
      <x:c r="H1" s="23"/>
    </x:row>
    <x:row r="3">
      <x:c r="A3" s="6" t="str">
        <x:v>Metric</x:v>
      </x:c>
      <x:c r="B3" s="6" t="str">
        <x:v>Value</x:v>
      </x:c>
      <x:c r="D3" s="6" t="str">
        <x:v>Phase</x:v>
      </x:c>
      <x:c r="E3" s="6" t="str">
        <x:v>Name</x:v>
      </x:c>
      <x:c r="F3" s="6" t="str">
        <x:v>Tasks</x:v>
      </x:c>
      <x:c r="G3" s="6" t="str">
        <x:v>Done</x:v>
      </x:c>
      <x:c r="H3" s="6" t="str">
        <x:v>Completion %</x:v>
      </x:c>
    </x:row>
    <x:row r="4">
      <x:c r="A4" t="str">
        <x:v>Total Tasks</x:v>
      </x:c>
      <x:c r="B4" t="n">
        <x:f>COUNTA('Implementation Tracker'!$A$2:$A$170)</x:f>
        <x:v>169</x:v>
      </x:c>
      <x:c r="D4" t="n">
        <x:v>0</x:v>
      </x:c>
      <x:c r="E4" t="str">
        <x:v>Engineering Foundation</x:v>
      </x:c>
      <x:c r="F4" t="n">
        <x:f>'Phase Gates'!E2</x:f>
        <x:v>15</x:v>
      </x:c>
      <x:c r="G4" t="n">
        <x:f>'Phase Gates'!F2</x:f>
        <x:v>0</x:v>
      </x:c>
      <x:c r="H4" s="18" t="n">
        <x:f>'Phase Gates'!I2</x:f>
        <x:v>0</x:v>
      </x:c>
    </x:row>
    <x:row r="5">
      <x:c r="A5" t="str">
        <x:v>Done</x:v>
      </x:c>
      <x:c r="B5" t="n">
        <x:f>COUNTIF('Implementation Tracker'!$M$2:$M$170,"Done")</x:f>
        <x:v>0</x:v>
      </x:c>
      <x:c r="D5" t="n">
        <x:v>1</x:v>
      </x:c>
      <x:c r="E5" t="str">
        <x:v>Identity + Core Student Workspace</x:v>
      </x:c>
      <x:c r="F5" t="n">
        <x:f>'Phase Gates'!E3</x:f>
        <x:v>11</x:v>
      </x:c>
      <x:c r="G5" t="n">
        <x:f>'Phase Gates'!F3</x:f>
        <x:v>0</x:v>
      </x:c>
      <x:c r="H5" s="18" t="n">
        <x:f>'Phase Gates'!I3</x:f>
        <x:v>0</x:v>
      </x:c>
    </x:row>
    <x:row r="6">
      <x:c r="A6" t="str">
        <x:v>In Progress</x:v>
      </x:c>
      <x:c r="B6" t="n">
        <x:f>COUNTIF('Implementation Tracker'!$M$2:$M$170,"In Progress")</x:f>
        <x:v>0</x:v>
      </x:c>
      <x:c r="D6" t="n">
        <x:v>2</x:v>
      </x:c>
      <x:c r="E6" t="str">
        <x:v>Subjects + Topics + Learning Materials</x:v>
      </x:c>
      <x:c r="F6" t="n">
        <x:f>'Phase Gates'!E4</x:f>
        <x:v>13</x:v>
      </x:c>
      <x:c r="G6" t="n">
        <x:f>'Phase Gates'!F4</x:f>
        <x:v>0</x:v>
      </x:c>
      <x:c r="H6" s="18" t="n">
        <x:f>'Phase Gates'!I4</x:f>
        <x:v>0</x:v>
      </x:c>
    </x:row>
    <x:row r="7">
      <x:c r="A7" t="str">
        <x:v>Blocked</x:v>
      </x:c>
      <x:c r="B7" t="n">
        <x:f>COUNTIF('Implementation Tracker'!$M$2:$M$170,"Blocked")</x:f>
        <x:v>0</x:v>
      </x:c>
      <x:c r="D7" t="n">
        <x:v>3</x:v>
      </x:c>
      <x:c r="E7" t="str">
        <x:v>File Processing &amp; Ingestion</x:v>
      </x:c>
      <x:c r="F7" t="n">
        <x:f>'Phase Gates'!E5</x:f>
        <x:v>18</x:v>
      </x:c>
      <x:c r="G7" t="n">
        <x:f>'Phase Gates'!F5</x:f>
        <x:v>0</x:v>
      </x:c>
      <x:c r="H7" s="18" t="n">
        <x:f>'Phase Gates'!I5</x:f>
        <x:v>0</x:v>
      </x:c>
    </x:row>
    <x:row r="8">
      <x:c r="A8" t="str">
        <x:v>Overall Completion</x:v>
      </x:c>
      <x:c r="B8" s="18" t="n">
        <x:f>IF(B4=0,0,B5/B4)</x:f>
        <x:v>0</x:v>
      </x:c>
      <x:c r="D8" t="n">
        <x:v>4</x:v>
      </x:c>
      <x:c r="E8" t="str">
        <x:v>Knowledge Base + RAG Foundation</x:v>
      </x:c>
      <x:c r="F8" t="n">
        <x:f>'Phase Gates'!E6</x:f>
        <x:v>14</x:v>
      </x:c>
      <x:c r="G8" t="n">
        <x:f>'Phase Gates'!F6</x:f>
        <x:v>0</x:v>
      </x:c>
      <x:c r="H8" s="18" t="n">
        <x:f>'Phase Gates'!I6</x:f>
        <x:v>0</x:v>
      </x:c>
    </x:row>
    <x:row r="9">
      <x:c r="D9" t="n">
        <x:v>5</x:v>
      </x:c>
      <x:c r="E9" t="str">
        <x:v>AI Provider &amp; Prompt Infrastructure</x:v>
      </x:c>
      <x:c r="F9" t="n">
        <x:f>'Phase Gates'!E7</x:f>
        <x:v>14</x:v>
      </x:c>
      <x:c r="G9" t="n">
        <x:f>'Phase Gates'!F7</x:f>
        <x:v>0</x:v>
      </x:c>
      <x:c r="H9" s="18" t="n">
        <x:f>'Phase Gates'!I7</x:f>
        <x:v>0</x:v>
      </x:c>
    </x:row>
    <x:row r="10">
      <x:c r="A10" s="6" t="str">
        <x:v>Execution Rule</x:v>
      </x:c>
      <x:c r="B10" s="6" t="str">
        <x:v>Meaning</x:v>
      </x:c>
      <x:c r="D10" t="n">
        <x:v>6</x:v>
      </x:c>
      <x:c r="E10" t="str">
        <x:v>AI Learning Engine</x:v>
      </x:c>
      <x:c r="F10" t="n">
        <x:f>'Phase Gates'!E8</x:f>
        <x:v>14</x:v>
      </x:c>
      <x:c r="G10" t="n">
        <x:f>'Phase Gates'!F8</x:f>
        <x:v>0</x:v>
      </x:c>
      <x:c r="H10" s="18" t="n">
        <x:f>'Phase Gates'!I8</x:f>
        <x:v>0</x:v>
      </x:c>
    </x:row>
    <x:row r="11">
      <x:c r="A11" t="str">
        <x:v>Status = Done</x:v>
      </x:c>
      <x:c r="B11" s="12" t="str">
        <x:v>Build + tests + Definition of Done satisfied; evidence recorded.</x:v>
      </x:c>
      <x:c r="D11" t="n">
        <x:v>7</x:v>
      </x:c>
      <x:c r="E11" t="str">
        <x:v>Study Missions</x:v>
      </x:c>
      <x:c r="F11" t="n">
        <x:f>'Phase Gates'!E9</x:f>
        <x:v>14</x:v>
      </x:c>
      <x:c r="G11" t="n">
        <x:f>'Phase Gates'!F9</x:f>
        <x:v>0</x:v>
      </x:c>
      <x:c r="H11" s="18" t="n">
        <x:f>'Phase Gates'!I9</x:f>
        <x:v>0</x:v>
      </x:c>
    </x:row>
    <x:row r="12">
      <x:c r="A12" t="str">
        <x:v>Ready for Review</x:v>
      </x:c>
      <x:c r="B12" s="12" t="str">
        <x:v>Implementation complete; waiting for reviewer/gate confirmation.</x:v>
      </x:c>
      <x:c r="D12" t="n">
        <x:v>8</x:v>
      </x:c>
      <x:c r="E12" t="str">
        <x:v>Learning Evidence + Review System</x:v>
      </x:c>
      <x:c r="F12" t="n">
        <x:f>'Phase Gates'!E10</x:f>
        <x:v>12</x:v>
      </x:c>
      <x:c r="G12" t="n">
        <x:f>'Phase Gates'!F10</x:f>
        <x:v>0</x:v>
      </x:c>
      <x:c r="H12" s="18" t="n">
        <x:f>'Phase Gates'!I10</x:f>
        <x:v>0</x:v>
      </x:c>
    </x:row>
    <x:row r="13">
      <x:c r="A13" t="str">
        <x:v>Blocked</x:v>
      </x:c>
      <x:c r="B13" s="12" t="str">
        <x:v>Cannot proceed because a documented dependency or decision is unresolved.</x:v>
      </x:c>
      <x:c r="D13" t="n">
        <x:v>9</x:v>
      </x:c>
      <x:c r="E13" t="str">
        <x:v>Visual &amp; Multimodal Learning</x:v>
      </x:c>
      <x:c r="F13" t="n">
        <x:f>'Phase Gates'!E11</x:f>
        <x:v>10</x:v>
      </x:c>
      <x:c r="G13" t="n">
        <x:f>'Phase Gates'!F11</x:f>
        <x:v>0</x:v>
      </x:c>
      <x:c r="H13" s="18" t="n">
        <x:f>'Phase Gates'!I11</x:f>
        <x:v>0</x:v>
      </x:c>
    </x:row>
    <x:row r="14">
      <x:c r="A14" t="str">
        <x:v>Phase PASS</x:v>
      </x:c>
      <x:c r="B14" s="12" t="str">
        <x:v>All Must tasks Done, required gate task Done, and acceptance evidence recorded.</x:v>
      </x:c>
      <x:c r="D14" t="n">
        <x:v>10</x:v>
      </x:c>
      <x:c r="E14" t="str">
        <x:v>Complete Student Learning Experience</x:v>
      </x:c>
      <x:c r="F14" t="n">
        <x:f>'Phase Gates'!E12</x:f>
        <x:v>10</x:v>
      </x:c>
      <x:c r="G14" t="n">
        <x:f>'Phase Gates'!F12</x:f>
        <x:v>0</x:v>
      </x:c>
      <x:c r="H14" s="18" t="n">
        <x:f>'Phase Gates'!I12</x:f>
        <x:v>0</x:v>
      </x:c>
    </x:row>
    <x:row r="15">
      <x:c r="D15" t="n">
        <x:v>11</x:v>
      </x:c>
      <x:c r="E15" t="str">
        <x:v>Security + Reliability Hardening</x:v>
      </x:c>
      <x:c r="F15" t="n">
        <x:f>'Phase Gates'!E13</x:f>
        <x:v>12</x:v>
      </x:c>
      <x:c r="G15" t="n">
        <x:f>'Phase Gates'!F13</x:f>
        <x:v>0</x:v>
      </x:c>
      <x:c r="H15" s="18" t="n">
        <x:f>'Phase Gates'!I13</x:f>
        <x:v>0</x:v>
      </x:c>
    </x:row>
    <x:row r="16">
      <x:c r="D16" t="n">
        <x:v>12</x:v>
      </x:c>
      <x:c r="E16" t="str">
        <x:v>Evaluation + Performance + Pilot Readiness</x:v>
      </x:c>
      <x:c r="F16" t="n">
        <x:f>'Phase Gates'!E14</x:f>
        <x:v>12</x:v>
      </x:c>
      <x:c r="G16" t="n">
        <x:f>'Phase Gates'!F14</x:f>
        <x:v>0</x:v>
      </x:c>
      <x:c r="H16" s="18" t="n">
        <x:f>'Phase Gates'!I14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b2402f1a05a455f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" hidden="0" customWidth="1"/>
    <x:col min="3" max="3" width="18" hidden="0" customWidth="1"/>
    <x:col min="4" max="4" width="32" hidden="0" customWidth="1"/>
    <x:col min="5" max="5" width="36" hidden="0" customWidth="1"/>
    <x:col min="6" max="6" width="46" hidden="0" customWidth="1"/>
    <x:col min="7" max="7" width="44" hidden="0" customWidth="1"/>
    <x:col min="8" max="8" width="28" hidden="0" customWidth="1"/>
    <x:col min="9" max="9" width="44" hidden="0" customWidth="1"/>
    <x:col min="10" max="10" width="38" hidden="0" customWidth="1"/>
    <x:col min="11" max="11" width="40" hidden="0" customWidth="1"/>
    <x:col min="12" max="12" width="10" hidden="0" customWidth="1"/>
    <x:col min="13" max="13" width="18" hidden="0" customWidth="1"/>
    <x:col min="14" max="14" width="16" hidden="0" customWidth="1"/>
    <x:col min="15" max="15" width="24" hidden="0" customWidth="1"/>
    <x:col min="16" max="16" width="26" hidden="0" customWidth="1"/>
    <x:col min="17" max="17" width="16" hidden="0" customWidth="1"/>
  </x:cols>
  <x:sheetData>
    <x:row r="1">
      <x:c r="A1" s="14" t="str">
        <x:v>ID</x:v>
      </x:c>
      <x:c r="B1" s="14" t="str">
        <x:v>Phase</x:v>
      </x:c>
      <x:c r="C1" s="14" t="str">
        <x:v>Workstream</x:v>
      </x:c>
      <x:c r="D1" s="14" t="str">
        <x:v>Implementation Task</x:v>
      </x:c>
      <x:c r="E1" s="14" t="str">
        <x:v>Goal</x:v>
      </x:c>
      <x:c r="F1" s="14" t="str">
        <x:v>What We Need to Build</x:v>
      </x:c>
      <x:c r="G1" s="14" t="str">
        <x:v>How It Works</x:v>
      </x:c>
      <x:c r="H1" s="14" t="str">
        <x:v>Dependencies</x:v>
      </x:c>
      <x:c r="I1" s="14" t="str">
        <x:v>Tests / Validation</x:v>
      </x:c>
      <x:c r="J1" s="14" t="str">
        <x:v>Expected Result</x:v>
      </x:c>
      <x:c r="K1" s="14" t="str">
        <x:v>Definition of Done</x:v>
      </x:c>
      <x:c r="L1" s="14" t="str">
        <x:v>Priority</x:v>
      </x:c>
      <x:c r="M1" s="14" t="str">
        <x:v>Status</x:v>
      </x:c>
      <x:c r="N1" s="14" t="str">
        <x:v>Owner</x:v>
      </x:c>
      <x:c r="O1" s="14" t="str">
        <x:v>Evidence / Link</x:v>
      </x:c>
      <x:c r="P1" s="14" t="str">
        <x:v>Notes / Blockers</x:v>
      </x:c>
      <x:c r="Q1" s="14" t="str">
        <x:v>Authority Docs</x:v>
      </x:c>
    </x:row>
    <x:row r="2">
      <x:c r="A2" s="15" t="str">
        <x:v>P0-01</x:v>
      </x:c>
      <x:c r="B2" s="15" t="n">
        <x:v>0</x:v>
      </x:c>
      <x:c r="C2" s="15" t="str">
        <x:v>Repository</x:v>
      </x:c>
      <x:c r="D2" s="15" t="str">
        <x:v>Create backend repository structure</x:v>
      </x:c>
      <x:c r="E2" s="15" t="str">
        <x:v>Establish a clean Spring Boot codebase aligned with the modular-monolith architecture.</x:v>
      </x:c>
      <x:c r="F2" s="15" t="str">
        <x:v>Create Maven Spring Boot project, Java 25 toolchain, base packages: identity, learning, progress, review, materials, rag, ai, shared, bootstrap.</x:v>
      </x:c>
      <x:c r="G2" s="15" t="str">
        <x:v>Only bootstrap wiring may depend broadly; feature modules must start with explicit boundaries.</x:v>
      </x:c>
      <x:c r="H2" s="15" t="str">
        <x:v>None</x:v>
      </x:c>
      <x:c r="I2" s="15" t="str">
        <x:v>mvn test; application context starts; Java 25 verified.</x:v>
      </x:c>
      <x:c r="J2" s="15" t="str">
        <x:v>Backend starts locally with no architecture violations.</x:v>
      </x:c>
      <x:c r="K2" s="15" t="str">
        <x:v>Build passes, health endpoint responds, repository structure matches Doc 19.</x:v>
      </x:c>
      <x:c r="L2" s="15" t="str">
        <x:v>Must</x:v>
      </x:c>
      <x:c r="M2" s="15" t="str">
        <x:v>Not Started</x:v>
      </x:c>
      <x:c r="N2" s="15" t="str"/>
      <x:c r="O2" s="15" t="str"/>
      <x:c r="P2" s="15" t="str"/>
      <x:c r="Q2" s="15" t="str">
        <x:v>17,19,26</x:v>
      </x:c>
    </x:row>
    <x:row r="3">
      <x:c r="A3" s="15" t="str">
        <x:v>P0-02</x:v>
      </x:c>
      <x:c r="B3" s="15" t="n">
        <x:v>0</x:v>
      </x:c>
      <x:c r="C3" s="15" t="str">
        <x:v>Repository</x:v>
      </x:c>
      <x:c r="D3" s="15" t="str">
        <x:v>Create frontend repository structure</x:v>
      </x:c>
      <x:c r="E3" s="15" t="str">
        <x:v>Establish React application baseline.</x:v>
      </x:c>
      <x:c r="F3" s="15" t="str">
        <x:v>Create React 19 + TypeScript + Vite project with app, features, components, api, hooks, state, schemas, types, test folders.</x:v>
      </x:c>
      <x:c r="G3" s="15" t="str">
        <x:v>App shell owns providers/router; feature folders own feature UI.</x:v>
      </x:c>
      <x:c r="H3" s="15" t="str">
        <x:v>None</x:v>
      </x:c>
      <x:c r="I3" s="15" t="str">
        <x:v>npm test/build/typecheck/lint.</x:v>
      </x:c>
      <x:c r="J3" s="15" t="str">
        <x:v>Frontend loads base route without runtime/type errors.</x:v>
      </x:c>
      <x:c r="K3" s="15" t="str">
        <x:v>Build/test/typecheck pass; folders match Doc 20.</x:v>
      </x:c>
      <x:c r="L3" s="15" t="str">
        <x:v>Must</x:v>
      </x:c>
      <x:c r="M3" s="15" t="str">
        <x:v>Not Started</x:v>
      </x:c>
      <x:c r="N3" s="15" t="str"/>
      <x:c r="O3" s="15" t="str"/>
      <x:c r="P3" s="15" t="str"/>
      <x:c r="Q3" s="15" t="str">
        <x:v>17,20,26</x:v>
      </x:c>
    </x:row>
    <x:row r="4">
      <x:c r="A4" s="15" t="str">
        <x:v>P0-03</x:v>
      </x:c>
      <x:c r="B4" s="15" t="n">
        <x:v>0</x:v>
      </x:c>
      <x:c r="C4" s="15" t="str">
        <x:v>Backend</x:v>
      </x:c>
      <x:c r="D4" s="15" t="str">
        <x:v>Configure Spring profiles</x:v>
      </x:c>
      <x:c r="E4" s="15" t="str">
        <x:v>Separate local/test/pilot configuration safely.</x:v>
      </x:c>
      <x:c r="F4" s="15" t="str">
        <x:v>Create application.yml plus local/test/pilot profiles; externalize secrets and resource limits.</x:v>
      </x:c>
      <x:c r="G4" s="15" t="str">
        <x:v>Runtime selects profile; secrets are injected via environment.</x:v>
      </x:c>
      <x:c r="H4" s="15" t="str">
        <x:v>Backend project</x:v>
      </x:c>
      <x:c r="I4" s="15" t="str">
        <x:v>Profile-specific smoke tests; no secrets in Git.</x:v>
      </x:c>
      <x:c r="J4" s="15" t="str">
        <x:v>App boots in local and test profiles with correct overrides.</x:v>
      </x:c>
      <x:c r="K4" s="15" t="str">
        <x:v>Profiles documented and no secret values committed.</x:v>
      </x:c>
      <x:c r="L4" s="15" t="str">
        <x:v>Must</x:v>
      </x:c>
      <x:c r="M4" s="15" t="str">
        <x:v>Not Started</x:v>
      </x:c>
      <x:c r="N4" s="15" t="str"/>
      <x:c r="O4" s="15" t="str"/>
      <x:c r="P4" s="15" t="str"/>
      <x:c r="Q4" s="15" t="str">
        <x:v>17,19,22,23</x:v>
      </x:c>
    </x:row>
    <x:row r="5">
      <x:c r="A5" s="15" t="str">
        <x:v>P0-04</x:v>
      </x:c>
      <x:c r="B5" s="15" t="n">
        <x:v>0</x:v>
      </x:c>
      <x:c r="C5" s="15" t="str">
        <x:v>Database</x:v>
      </x:c>
      <x:c r="D5" s="15" t="str">
        <x:v>Provision local PostgreSQL + pgvector</x:v>
      </x:c>
      <x:c r="E5" s="15" t="str">
        <x:v>Provide reproducible local relational/vector infrastructure.</x:v>
      </x:c>
      <x:c r="F5" s="15" t="str">
        <x:v>Create Docker Compose PostgreSQL 18 with vector and pg_trgm extensions.</x:v>
      </x:c>
      <x:c r="G5" s="15" t="str">
        <x:v>Developers start DB locally; Spring connects through env config.</x:v>
      </x:c>
      <x:c r="H5" s="15" t="str">
        <x:v>Backend project</x:v>
      </x:c>
      <x:c r="I5" s="15" t="str">
        <x:v>Container starts; SELECT extversion for vector; pg_trgm enabled.</x:v>
      </x:c>
      <x:c r="J5" s="15" t="str">
        <x:v>Local DB is reproducible from one command.</x:v>
      </x:c>
      <x:c r="K5" s="15" t="str">
        <x:v>Compose file works and extension tests pass.</x:v>
      </x:c>
      <x:c r="L5" s="15" t="str">
        <x:v>Must</x:v>
      </x:c>
      <x:c r="M5" s="15" t="str">
        <x:v>Not Started</x:v>
      </x:c>
      <x:c r="N5" s="15" t="str"/>
      <x:c r="O5" s="15" t="str"/>
      <x:c r="P5" s="15" t="str"/>
      <x:c r="Q5" s="15" t="str">
        <x:v>17,18,23</x:v>
      </x:c>
    </x:row>
    <x:row r="6">
      <x:c r="A6" s="15" t="str">
        <x:v>P0-05</x:v>
      </x:c>
      <x:c r="B6" s="15" t="n">
        <x:v>0</x:v>
      </x:c>
      <x:c r="C6" s="15" t="str">
        <x:v>Database</x:v>
      </x:c>
      <x:c r="D6" s="15" t="str">
        <x:v>Initialize Flyway</x:v>
      </x:c>
      <x:c r="E6" s="15" t="str">
        <x:v>Make schema evolution version-controlled from day one.</x:v>
      </x:c>
      <x:c r="F6" s="15" t="str">
        <x:v>Configure Flyway and create baseline migration for extension/bootstrap objects only.</x:v>
      </x:c>
      <x:c r="G6" s="15" t="str">
        <x:v>App startup validates/applies migrations; Hibernate uses validate.</x:v>
      </x:c>
      <x:c r="H6" s="15" t="str">
        <x:v>Local PostgreSQL</x:v>
      </x:c>
      <x:c r="I6" s="15" t="str">
        <x:v>Empty DB migration test; second startup is idempotent.</x:v>
      </x:c>
      <x:c r="J6" s="15" t="str">
        <x:v>Schema builds from zero consistently.</x:v>
      </x:c>
      <x:c r="K6" s="15" t="str">
        <x:v>CI migration-from-zero test passes.</x:v>
      </x:c>
      <x:c r="L6" s="15" t="str">
        <x:v>Must</x:v>
      </x:c>
      <x:c r="M6" s="15" t="str">
        <x:v>Not Started</x:v>
      </x:c>
      <x:c r="N6" s="15" t="str"/>
      <x:c r="O6" s="15" t="str"/>
      <x:c r="P6" s="15" t="str"/>
      <x:c r="Q6" s="15" t="str">
        <x:v>17,18,25</x:v>
      </x:c>
    </x:row>
    <x:row r="7">
      <x:c r="A7" s="15" t="str">
        <x:v>P0-06</x:v>
      </x:c>
      <x:c r="B7" s="15" t="n">
        <x:v>0</x:v>
      </x:c>
      <x:c r="C7" s="15" t="str">
        <x:v>Architecture</x:v>
      </x:c>
      <x:c r="D7" s="15" t="str">
        <x:v>Add architecture enforcement tests</x:v>
      </x:c>
      <x:c r="E7" s="15" t="str">
        <x:v>Prevent module drift early.</x:v>
      </x:c>
      <x:c r="F7" s="15" t="str">
        <x:v>Configure ArchUnit rules for API→application→domain/ports and infrastructure isolation.</x:v>
      </x:c>
      <x:c r="G7" s="15" t="str">
        <x:v>CI fails if forbidden dependencies appear.</x:v>
      </x:c>
      <x:c r="H7" s="15" t="str">
        <x:v>Backend structure</x:v>
      </x:c>
      <x:c r="I7" s="15" t="str">
        <x:v>Introduce deliberate violation test locally, then remove; CI green.</x:v>
      </x:c>
      <x:c r="J7" s="15" t="str">
        <x:v>Forbidden layer dependencies are automatically detected.</x:v>
      </x:c>
      <x:c r="K7" s="15" t="str">
        <x:v>Architecture tests run on every PR.</x:v>
      </x:c>
      <x:c r="L7" s="15" t="str">
        <x:v>Must</x:v>
      </x:c>
      <x:c r="M7" s="15" t="str">
        <x:v>Not Started</x:v>
      </x:c>
      <x:c r="N7" s="15" t="str"/>
      <x:c r="O7" s="15" t="str"/>
      <x:c r="P7" s="15" t="str"/>
      <x:c r="Q7" s="15" t="str">
        <x:v>19,25</x:v>
      </x:c>
    </x:row>
    <x:row r="8">
      <x:c r="A8" s="15" t="str">
        <x:v>P0-07</x:v>
      </x:c>
      <x:c r="B8" s="15" t="n">
        <x:v>0</x:v>
      </x:c>
      <x:c r="C8" s="15" t="str">
        <x:v>Backend</x:v>
      </x:c>
      <x:c r="D8" s="15" t="str">
        <x:v>Create error contract foundation</x:v>
      </x:c>
      <x:c r="E8" s="15" t="str">
        <x:v>Standardize API failures before features expand.</x:v>
      </x:c>
      <x:c r="F8" s="15" t="str">
        <x:v>Implement ProblemDetail/error-code mapper, correlation ID filter, common domain/application exception hierarchy.</x:v>
      </x:c>
      <x:c r="G8" s="15" t="str">
        <x:v>Controllers throw typed errors; central handler maps stable code/message/correlationId.</x:v>
      </x:c>
      <x:c r="H8" s="15" t="str">
        <x:v>Backend project</x:v>
      </x:c>
      <x:c r="I8" s="15" t="str">
        <x:v>Controller test for validation, not-found, conflict, internal error.</x:v>
      </x:c>
      <x:c r="J8" s="15" t="str">
        <x:v>Errors are consistent and do not leak internals.</x:v>
      </x:c>
      <x:c r="K8" s="15" t="str">
        <x:v>Stable error JSON verified.</x:v>
      </x:c>
      <x:c r="L8" s="15" t="str">
        <x:v>Must</x:v>
      </x:c>
      <x:c r="M8" s="15" t="str">
        <x:v>Not Started</x:v>
      </x:c>
      <x:c r="N8" s="15" t="str"/>
      <x:c r="O8" s="15" t="str"/>
      <x:c r="P8" s="15" t="str"/>
      <x:c r="Q8" s="15" t="str">
        <x:v>19,22,24</x:v>
      </x:c>
    </x:row>
    <x:row r="9">
      <x:c r="A9" s="15" t="str">
        <x:v>P0-08</x:v>
      </x:c>
      <x:c r="B9" s="15" t="n">
        <x:v>0</x:v>
      </x:c>
      <x:c r="C9" s="15" t="str">
        <x:v>Observability</x:v>
      </x:c>
      <x:c r="D9" s="15" t="str">
        <x:v>Add Actuator and structured logging</x:v>
      </x:c>
      <x:c r="E9" s="15" t="str">
        <x:v>Make foundation observable immediately.</x:v>
      </x:c>
      <x:c r="F9" s="15" t="str">
        <x:v>Enable safe health endpoints, Micrometer baseline, JSON/structured log fields, correlation IDs.</x:v>
      </x:c>
      <x:c r="G9" s="15" t="str">
        <x:v>Every request receives opaque correlation ID propagated to logs.</x:v>
      </x:c>
      <x:c r="H9" s="15" t="str">
        <x:v>Backend project</x:v>
      </x:c>
      <x:c r="I9" s="15" t="str">
        <x:v>Health test; log smoke test; sensitive-value grep.</x:v>
      </x:c>
      <x:c r="J9" s="15" t="str">
        <x:v>Health works and logs contain no secrets.</x:v>
      </x:c>
      <x:c r="K9" s="15" t="str">
        <x:v>Liveness/readiness and correlation verified.</x:v>
      </x:c>
      <x:c r="L9" s="15" t="str">
        <x:v>Must</x:v>
      </x:c>
      <x:c r="M9" s="15" t="str">
        <x:v>Not Started</x:v>
      </x:c>
      <x:c r="N9" s="15" t="str"/>
      <x:c r="O9" s="15" t="str"/>
      <x:c r="P9" s="15" t="str"/>
      <x:c r="Q9" s="15" t="str">
        <x:v>17,24</x:v>
      </x:c>
    </x:row>
    <x:row r="10">
      <x:c r="A10" s="15" t="str">
        <x:v>P0-09</x:v>
      </x:c>
      <x:c r="B10" s="15" t="n">
        <x:v>0</x:v>
      </x:c>
      <x:c r="C10" s="15" t="str">
        <x:v>Frontend</x:v>
      </x:c>
      <x:c r="D10" s="15" t="str">
        <x:v>Create application shell and routing</x:v>
      </x:c>
      <x:c r="E10" s="15" t="str">
        <x:v>Provide consistent app frame without feature sprawl.</x:v>
      </x:c>
      <x:c r="F10" s="15" t="str">
        <x:v>Implement router, auth-placeholder layout, compact navigation shell, route-level error boundary.</x:v>
      </x:c>
      <x:c r="G10" s="15" t="str">
        <x:v>Feature routes render inside app shell.</x:v>
      </x:c>
      <x:c r="H10" s="15" t="str">
        <x:v>Frontend project</x:v>
      </x:c>
      <x:c r="I10" s="15" t="str">
        <x:v>Route smoke tests at desktop/mobile widths.</x:v>
      </x:c>
      <x:c r="J10" s="15" t="str">
        <x:v>Core routes render and unknown routes fail gracefully.</x:v>
      </x:c>
      <x:c r="K10" s="15" t="str">
        <x:v>Navigation shell works responsively.</x:v>
      </x:c>
      <x:c r="L10" s="15" t="str">
        <x:v>Must</x:v>
      </x:c>
      <x:c r="M10" s="15" t="str">
        <x:v>Not Started</x:v>
      </x:c>
      <x:c r="N10" s="15" t="str"/>
      <x:c r="O10" s="15" t="str"/>
      <x:c r="P10" s="15" t="str"/>
      <x:c r="Q10" s="15" t="str">
        <x:v>20</x:v>
      </x:c>
    </x:row>
    <x:row r="11">
      <x:c r="A11" s="15" t="str">
        <x:v>P0-10</x:v>
      </x:c>
      <x:c r="B11" s="15" t="n">
        <x:v>0</x:v>
      </x:c>
      <x:c r="C11" s="15" t="str">
        <x:v>Frontend</x:v>
      </x:c>
      <x:c r="D11" s="15" t="str">
        <x:v>Create centralized API client</x:v>
      </x:c>
      <x:c r="E11" s="15" t="str">
        <x:v>Prevent ad hoc fetch usage.</x:v>
      </x:c>
      <x:c r="F11" s="15" t="str">
        <x:v>Implement base URL, credentials, JSON/problem parsing, AbortSignal and multipart helpers.</x:v>
      </x:c>
      <x:c r="G11" s="15" t="str">
        <x:v>All feature API modules depend on this client.</x:v>
      </x:c>
      <x:c r="H11" s="15" t="str">
        <x:v>Frontend project</x:v>
      </x:c>
      <x:c r="I11" s="15" t="str">
        <x:v>Unit tests for 2xx, 4xx ProblemDetail, network abort.</x:v>
      </x:c>
      <x:c r="J11" s="15" t="str">
        <x:v>Errors normalize consistently.</x:v>
      </x:c>
      <x:c r="K11" s="15" t="str">
        <x:v>No direct fetch calls outside approved client/streaming abstraction.</x:v>
      </x:c>
      <x:c r="L11" s="15" t="str">
        <x:v>Must</x:v>
      </x:c>
      <x:c r="M11" s="15" t="str">
        <x:v>Not Started</x:v>
      </x:c>
      <x:c r="N11" s="15" t="str"/>
      <x:c r="O11" s="15" t="str"/>
      <x:c r="P11" s="15" t="str"/>
      <x:c r="Q11" s="15" t="str">
        <x:v>20,22</x:v>
      </x:c>
    </x:row>
    <x:row r="12">
      <x:c r="A12" s="15" t="str">
        <x:v>P0-11</x:v>
      </x:c>
      <x:c r="B12" s="15" t="n">
        <x:v>0</x:v>
      </x:c>
      <x:c r="C12" s="15" t="str">
        <x:v>Frontend</x:v>
      </x:c>
      <x:c r="D12" s="15" t="str">
        <x:v>Create core UI states/components</x:v>
      </x:c>
      <x:c r="E12" s="15" t="str">
        <x:v>Standardize basic UX.</x:v>
      </x:c>
      <x:c r="F12" s="15" t="str">
        <x:v>Implement Button, Input, Textarea, Select, Card, Dialog/Drawer, Badge, Progress, Skeleton, EmptyState, ErrorState.</x:v>
      </x:c>
      <x:c r="G12" s="15" t="str">
        <x:v>Features compose these without creating a huge UI library.</x:v>
      </x:c>
      <x:c r="H12" s="15" t="str">
        <x:v>Frontend project</x:v>
      </x:c>
      <x:c r="I12" s="15" t="str">
        <x:v>Component tests + keyboard/focus smoke tests.</x:v>
      </x:c>
      <x:c r="J12" s="15" t="str">
        <x:v>Reusable states render consistently.</x:v>
      </x:c>
      <x:c r="K12" s="15" t="str">
        <x:v>Core component suite passes accessibility smoke tests.</x:v>
      </x:c>
      <x:c r="L12" s="15" t="str">
        <x:v>Must</x:v>
      </x:c>
      <x:c r="M12" s="15" t="str">
        <x:v>Not Started</x:v>
      </x:c>
      <x:c r="N12" s="15" t="str"/>
      <x:c r="O12" s="15" t="str"/>
      <x:c r="P12" s="15" t="str"/>
      <x:c r="Q12" s="15" t="str">
        <x:v>20,25</x:v>
      </x:c>
    </x:row>
    <x:row r="13">
      <x:c r="A13" s="15" t="str">
        <x:v>P0-12</x:v>
      </x:c>
      <x:c r="B13" s="15" t="n">
        <x:v>0</x:v>
      </x:c>
      <x:c r="C13" s="15" t="str">
        <x:v>CI/CD</x:v>
      </x:c>
      <x:c r="D13" s="15" t="str">
        <x:v>Create GitHub Actions quality pipeline</x:v>
      </x:c>
      <x:c r="E13" s="15" t="str">
        <x:v>Make quality gates automatic.</x:v>
      </x:c>
      <x:c r="F13" s="15" t="str">
        <x:v>Add backend tests, frontend lint/typecheck/test, architecture tests, migration integration tests, secret/dependency scans, builds.</x:v>
      </x:c>
      <x:c r="G13" s="15" t="str">
        <x:v>PR must pass deterministic checks before merge.</x:v>
      </x:c>
      <x:c r="H13" s="15" t="str">
        <x:v>Repositories</x:v>
      </x:c>
      <x:c r="I13" s="15" t="str">
        <x:v>Open sample PR; intentionally fail one check.</x:v>
      </x:c>
      <x:c r="J13" s="15" t="str">
        <x:v>CI blocks broken code and reports failures clearly.</x:v>
      </x:c>
      <x:c r="K13" s="15" t="str">
        <x:v>Required jobs green on main.</x:v>
      </x:c>
      <x:c r="L13" s="15" t="str">
        <x:v>Must</x:v>
      </x:c>
      <x:c r="M13" s="15" t="str">
        <x:v>Not Started</x:v>
      </x:c>
      <x:c r="N13" s="15" t="str"/>
      <x:c r="O13" s="15" t="str"/>
      <x:c r="P13" s="15" t="str"/>
      <x:c r="Q13" s="15" t="str">
        <x:v>23,25</x:v>
      </x:c>
    </x:row>
    <x:row r="14">
      <x:c r="A14" s="15" t="str">
        <x:v>P0-13</x:v>
      </x:c>
      <x:c r="B14" s="15" t="n">
        <x:v>0</x:v>
      </x:c>
      <x:c r="C14" s="15" t="str">
        <x:v>Security</x:v>
      </x:c>
      <x:c r="D14" s="15" t="str">
        <x:v>Add secret scanning and dependency monitoring</x:v>
      </x:c>
      <x:c r="E14" s="15" t="str">
        <x:v>Prevent credential leaks and known vulnerable dependencies.</x:v>
      </x:c>
      <x:c r="F14" s="15" t="str">
        <x:v>Configure Gitleaks and Dependabot/security alerts where available; add ignore process documentation.</x:v>
      </x:c>
      <x:c r="G14" s="15" t="str">
        <x:v>Scans run on PR/schedule; findings are triaged.</x:v>
      </x:c>
      <x:c r="H14" s="15" t="str">
        <x:v>CI pipeline</x:v>
      </x:c>
      <x:c r="I14" s="15" t="str">
        <x:v>Synthetic fake-secret fixture in isolated test; dependency alert workflow review.</x:v>
      </x:c>
      <x:c r="J14" s="15" t="str">
        <x:v>Secrets and vulnerable dependency signals are visible before release.</x:v>
      </x:c>
      <x:c r="K14" s="15" t="str">
        <x:v>Security checks documented and active.</x:v>
      </x:c>
      <x:c r="L14" s="15" t="str">
        <x:v>Must</x:v>
      </x:c>
      <x:c r="M14" s="15" t="str">
        <x:v>Not Started</x:v>
      </x:c>
      <x:c r="N14" s="15" t="str"/>
      <x:c r="O14" s="15" t="str"/>
      <x:c r="P14" s="15" t="str"/>
      <x:c r="Q14" s="15" t="str">
        <x:v>22,24,25</x:v>
      </x:c>
    </x:row>
    <x:row r="15">
      <x:c r="A15" s="15" t="str">
        <x:v>P0-14</x:v>
      </x:c>
      <x:c r="B15" s="15" t="n">
        <x:v>0</x:v>
      </x:c>
      <x:c r="C15" s="15" t="str">
        <x:v>Testing</x:v>
      </x:c>
      <x:c r="D15" s="15" t="str">
        <x:v>Create Testcontainers foundation</x:v>
      </x:c>
      <x:c r="E15" s="15" t="str">
        <x:v>Provide realistic integration tests.</x:v>
      </x:c>
      <x:c r="F15" s="15" t="str">
        <x:v>Configure PostgreSQL 18 + pgvector Testcontainer base test support.</x:v>
      </x:c>
      <x:c r="G15" s="15" t="str">
        <x:v>Integration tests create isolated DB and run Flyway.</x:v>
      </x:c>
      <x:c r="H15" s="15" t="str">
        <x:v>Backend + Docker</x:v>
      </x:c>
      <x:c r="I15" s="15" t="str">
        <x:v>Repository smoke test against container.</x:v>
      </x:c>
      <x:c r="J15" s="15" t="str">
        <x:v>CI can test actual PostgreSQL behavior.</x:v>
      </x:c>
      <x:c r="K15" s="15" t="str">
        <x:v>Reusable integration test base committed.</x:v>
      </x:c>
      <x:c r="L15" s="15" t="str">
        <x:v>Must</x:v>
      </x:c>
      <x:c r="M15" s="15" t="str">
        <x:v>Not Started</x:v>
      </x:c>
      <x:c r="N15" s="15" t="str"/>
      <x:c r="O15" s="15" t="str"/>
      <x:c r="P15" s="15" t="str"/>
      <x:c r="Q15" s="15" t="str">
        <x:v>17,25</x:v>
      </x:c>
    </x:row>
    <x:row r="16">
      <x:c r="A16" s="15" t="str">
        <x:v>P0-15</x:v>
      </x:c>
      <x:c r="B16" s="15" t="n">
        <x:v>0</x:v>
      </x:c>
      <x:c r="C16" s="15" t="str">
        <x:v>Documentation</x:v>
      </x:c>
      <x:c r="D16" s="15" t="str">
        <x:v>Create implementation tracker process</x:v>
      </x:c>
      <x:c r="E16" s="15" t="str">
        <x:v>Make completion evidence mandatory.</x:v>
      </x:c>
      <x:c r="F16" s="15" t="str">
        <x:v>Add tracker workflow, statuses, phase-gate rules, authority references, evidence links.</x:v>
      </x:c>
      <x:c r="G16" s="15" t="str">
        <x:v>Task may only move to Done when DoD and tests pass.</x:v>
      </x:c>
      <x:c r="H16" s="15" t="str">
        <x:v>Docs frozen</x:v>
      </x:c>
      <x:c r="I16" s="15" t="str">
        <x:v>Review tracker with Phase 0 tasks.</x:v>
      </x:c>
      <x:c r="J16" s="15" t="str">
        <x:v>Implementation work has a single progress source.</x:v>
      </x:c>
      <x:c r="K16" s="15" t="str">
        <x:v>Tracker committed and used in PR workflow.</x:v>
      </x:c>
      <x:c r="L16" s="15" t="str">
        <x:v>Must</x:v>
      </x:c>
      <x:c r="M16" s="15" t="str">
        <x:v>Not Started</x:v>
      </x:c>
      <x:c r="N16" s="15" t="str"/>
      <x:c r="O16" s="15" t="str"/>
      <x:c r="P16" s="15" t="str"/>
      <x:c r="Q16" s="15" t="str">
        <x:v>26,27</x:v>
      </x:c>
    </x:row>
    <x:row r="17">
      <x:c r="A17" s="15" t="str">
        <x:v>P1-01</x:v>
      </x:c>
      <x:c r="B17" s="15" t="n">
        <x:v>1</x:v>
      </x:c>
      <x:c r="C17" s="15" t="str">
        <x:v>Database</x:v>
      </x:c>
      <x:c r="D17" s="15" t="str">
        <x:v>Create user schema</x:v>
      </x:c>
      <x:c r="E17" s="15" t="str">
        <x:v>Persist internal user identity.</x:v>
      </x:c>
      <x:c r="F17" s="15" t="str">
        <x:v>Create users table/entity/repository with UUID, email, display_name, status, timestamps.</x:v>
      </x:c>
      <x:c r="G17" s="15" t="str">
        <x:v>Internal user ID is ownership root; provider/session details remain separate.</x:v>
      </x:c>
      <x:c r="H17" s="15" t="str">
        <x:v>P0 Flyway</x:v>
      </x:c>
      <x:c r="I17" s="15" t="str">
        <x:v>Migration/repository CRUD/unique-email tests.</x:v>
      </x:c>
      <x:c r="J17" s="15" t="str">
        <x:v>Users persist and unique constraints hold.</x:v>
      </x:c>
      <x:c r="K17" s="15" t="str">
        <x:v>Migration + entity mapping + repository tests pass.</x:v>
      </x:c>
      <x:c r="L17" s="15" t="str">
        <x:v>Must</x:v>
      </x:c>
      <x:c r="M17" s="15" t="str">
        <x:v>Not Started</x:v>
      </x:c>
      <x:c r="N17" s="15" t="str"/>
      <x:c r="O17" s="15" t="str"/>
      <x:c r="P17" s="15" t="str"/>
      <x:c r="Q17" s="15" t="str">
        <x:v>18</x:v>
      </x:c>
    </x:row>
    <x:row r="18">
      <x:c r="A18" s="15" t="str">
        <x:v>P1-02</x:v>
      </x:c>
      <x:c r="B18" s="15" t="n">
        <x:v>1</x:v>
      </x:c>
      <x:c r="C18" s="15" t="str">
        <x:v>Security</x:v>
      </x:c>
      <x:c r="D18" s="15" t="str">
        <x:v>Implement authentication flow</x:v>
      </x:c>
      <x:c r="E18" s="15" t="str">
        <x:v>Allow a student to establish an authenticated session.</x:v>
      </x:c>
      <x:c r="F18" s="15" t="str">
        <x:v>Implement chosen v1 login credential flow using Spring Security; map identity to users.id.</x:v>
      </x:c>
      <x:c r="G18" s="15" t="str">
        <x:v>Successful authentication creates/uses server-side session.</x:v>
      </x:c>
      <x:c r="H18" s="15" t="str">
        <x:v>User schema</x:v>
      </x:c>
      <x:c r="I18" s="15" t="str">
        <x:v>Auth integration tests: valid/invalid/disabled user.</x:v>
      </x:c>
      <x:c r="J18" s="15" t="str">
        <x:v>Authenticated user can enter app; invalid credentials reveal no sensitive details.</x:v>
      </x:c>
      <x:c r="K18" s="15" t="str">
        <x:v>Auth tests pass and flow documented.</x:v>
      </x:c>
      <x:c r="L18" s="15" t="str">
        <x:v>Must</x:v>
      </x:c>
      <x:c r="M18" s="15" t="str">
        <x:v>Not Started</x:v>
      </x:c>
      <x:c r="N18" s="15" t="str"/>
      <x:c r="O18" s="15" t="str"/>
      <x:c r="P18" s="15" t="str"/>
      <x:c r="Q18" s="15" t="str">
        <x:v>22</x:v>
      </x:c>
    </x:row>
    <x:row r="19">
      <x:c r="A19" s="15" t="str">
        <x:v>P1-03</x:v>
      </x:c>
      <x:c r="B19" s="15" t="n">
        <x:v>1</x:v>
      </x:c>
      <x:c r="C19" s="15" t="str">
        <x:v>Security</x:v>
      </x:c>
      <x:c r="D19" s="15" t="str">
        <x:v>Configure Spring Session JDBC</x:v>
      </x:c>
      <x:c r="E19" s="15" t="str">
        <x:v>Persist sessions server-side.</x:v>
      </x:c>
      <x:c r="F19" s="15" t="str">
        <x:v>Enable Spring Session JDBC and required schema; configure idle timeout.</x:v>
      </x:c>
      <x:c r="G19" s="15" t="str">
        <x:v>Browser stores only secure session cookie.</x:v>
      </x:c>
      <x:c r="H19" s="15" t="str">
        <x:v>Authentication flow</x:v>
      </x:c>
      <x:c r="I19" s="15" t="str">
        <x:v>Session persistence/expiry/restart tests.</x:v>
      </x:c>
      <x:c r="J19" s="15" t="str">
        <x:v>Session survives app restart if DB remains; expired sessions fail.</x:v>
      </x:c>
      <x:c r="K19" s="15" t="str">
        <x:v>Session tests pass.</x:v>
      </x:c>
      <x:c r="L19" s="15" t="str">
        <x:v>Must</x:v>
      </x:c>
      <x:c r="M19" s="15" t="str">
        <x:v>Not Started</x:v>
      </x:c>
      <x:c r="N19" s="15" t="str"/>
      <x:c r="O19" s="15" t="str"/>
      <x:c r="P19" s="15" t="str"/>
      <x:c r="Q19" s="15" t="str">
        <x:v>17,22</x:v>
      </x:c>
    </x:row>
    <x:row r="20">
      <x:c r="A20" s="15" t="str">
        <x:v>P1-04</x:v>
      </x:c>
      <x:c r="B20" s="15" t="n">
        <x:v>1</x:v>
      </x:c>
      <x:c r="C20" s="15" t="str">
        <x:v>Security</x:v>
      </x:c>
      <x:c r="D20" s="15" t="str">
        <x:v>Implement CSRF protection</x:v>
      </x:c>
      <x:c r="E20" s="15" t="str">
        <x:v>Protect cookie-authenticated mutations.</x:v>
      </x:c>
      <x:c r="F20" s="15" t="str">
        <x:v>Configure Spring Security CSRF and frontend token acquisition/submission.</x:v>
      </x:c>
      <x:c r="G20" s="15" t="str">
        <x:v>GETs read; state-changing requests require valid CSRF token.</x:v>
      </x:c>
      <x:c r="H20" s="15" t="str">
        <x:v>Auth/session</x:v>
      </x:c>
      <x:c r="I20" s="15" t="str">
        <x:v>Missing-token rejection and valid-token success tests.</x:v>
      </x:c>
      <x:c r="J20" s="15" t="str">
        <x:v>Cross-site forged state change is rejected.</x:v>
      </x:c>
      <x:c r="K20" s="15" t="str">
        <x:v>CSRF tests pass.</x:v>
      </x:c>
      <x:c r="L20" s="15" t="str">
        <x:v>Must</x:v>
      </x:c>
      <x:c r="M20" s="15" t="str">
        <x:v>Not Started</x:v>
      </x:c>
      <x:c r="N20" s="15" t="str"/>
      <x:c r="O20" s="15" t="str"/>
      <x:c r="P20" s="15" t="str"/>
      <x:c r="Q20" s="15" t="str">
        <x:v>22,25</x:v>
      </x:c>
    </x:row>
    <x:row r="21">
      <x:c r="A21" s="15" t="str">
        <x:v>P1-05</x:v>
      </x:c>
      <x:c r="B21" s="15" t="n">
        <x:v>1</x:v>
      </x:c>
      <x:c r="C21" s="15" t="str">
        <x:v>Security</x:v>
      </x:c>
      <x:c r="D21" s="15" t="str">
        <x:v>Restrict CORS</x:v>
      </x:c>
      <x:c r="E21" s="15" t="str">
        <x:v>Allow only approved origins.</x:v>
      </x:c>
      <x:c r="F21" s="15" t="str">
        <x:v>Configure local and pilot frontend origins with credentials support.</x:v>
      </x:c>
      <x:c r="G21" s="15" t="str">
        <x:v>Backend rejects credentialed requests from unapproved origins.</x:v>
      </x:c>
      <x:c r="H21" s="15" t="str">
        <x:v>Profiles</x:v>
      </x:c>
      <x:c r="I21" s="15" t="str">
        <x:v>CORS integration tests.</x:v>
      </x:c>
      <x:c r="J21" s="15" t="str">
        <x:v>Approved frontend works; wildcard credentialed CORS absent.</x:v>
      </x:c>
      <x:c r="K21" s="15" t="str">
        <x:v>CORS tests pass.</x:v>
      </x:c>
      <x:c r="L21" s="15" t="str">
        <x:v>Must</x:v>
      </x:c>
      <x:c r="M21" s="15" t="str">
        <x:v>Not Started</x:v>
      </x:c>
      <x:c r="N21" s="15" t="str"/>
      <x:c r="O21" s="15" t="str"/>
      <x:c r="P21" s="15" t="str"/>
      <x:c r="Q21" s="15" t="str">
        <x:v>22</x:v>
      </x:c>
    </x:row>
    <x:row r="22">
      <x:c r="A22" s="15" t="str">
        <x:v>P1-06</x:v>
      </x:c>
      <x:c r="B22" s="15" t="n">
        <x:v>1</x:v>
      </x:c>
      <x:c r="C22" s="15" t="str">
        <x:v>Domain</x:v>
      </x:c>
      <x:c r="D22" s="15" t="str">
        <x:v>Create current-user access abstraction</x:v>
      </x:c>
      <x:c r="E22" s="15" t="str">
        <x:v>Remove client-controlled ownership identity.</x:v>
      </x:c>
      <x:c r="F22" s="15" t="str">
        <x:v>Implement CurrentUser/AuthenticatedUser port resolved from Spring Security principal.</x:v>
      </x:c>
      <x:c r="G22" s="15" t="str">
        <x:v>Application use cases obtain user ID server-side.</x:v>
      </x:c>
      <x:c r="H22" s="15" t="str">
        <x:v>Authentication</x:v>
      </x:c>
      <x:c r="I22" s="15" t="str">
        <x:v>Unit/integration tests; attempts to inject userId ignored/rejected.</x:v>
      </x:c>
      <x:c r="J22" s="15" t="str">
        <x:v>Resource ownership always derives from session.</x:v>
      </x:c>
      <x:c r="K22" s="15" t="str">
        <x:v>No use case accepts client userId as authority.</x:v>
      </x:c>
      <x:c r="L22" s="15" t="str">
        <x:v>Must</x:v>
      </x:c>
      <x:c r="M22" s="15" t="str">
        <x:v>Not Started</x:v>
      </x:c>
      <x:c r="N22" s="15" t="str"/>
      <x:c r="O22" s="15" t="str"/>
      <x:c r="P22" s="15" t="str"/>
      <x:c r="Q22" s="15" t="str">
        <x:v>19,22</x:v>
      </x:c>
    </x:row>
    <x:row r="23">
      <x:c r="A23" s="15" t="str">
        <x:v>P1-07</x:v>
      </x:c>
      <x:c r="B23" s="15" t="n">
        <x:v>1</x:v>
      </x:c>
      <x:c r="C23" s="15" t="str">
        <x:v>Backend</x:v>
      </x:c>
      <x:c r="D23" s="15" t="str">
        <x:v>Implement /me session endpoint</x:v>
      </x:c>
      <x:c r="E23" s="15" t="str">
        <x:v>Give frontend safe session/user context.</x:v>
      </x:c>
      <x:c r="F23" s="15" t="str">
        <x:v>Return minimal user profile/session state.</x:v>
      </x:c>
      <x:c r="G23" s="15" t="str">
        <x:v>Frontend queries /me on authenticated shell bootstrap.</x:v>
      </x:c>
      <x:c r="H23" s="15" t="str">
        <x:v>Current-user abstraction</x:v>
      </x:c>
      <x:c r="I23" s="15" t="str">
        <x:v>API tests authenticated/unauthenticated.</x:v>
      </x:c>
      <x:c r="J23" s="15" t="str">
        <x:v>Frontend can determine logged-in user without tokens.</x:v>
      </x:c>
      <x:c r="K23" s="15" t="str">
        <x:v>Endpoint stable and privacy-minimal.</x:v>
      </x:c>
      <x:c r="L23" s="15" t="str">
        <x:v>Should</x:v>
      </x:c>
      <x:c r="M23" s="15" t="str">
        <x:v>Not Started</x:v>
      </x:c>
      <x:c r="N23" s="15" t="str"/>
      <x:c r="O23" s="15" t="str"/>
      <x:c r="P23" s="15" t="str"/>
      <x:c r="Q23" s="15" t="str">
        <x:v>20,22</x:v>
      </x:c>
    </x:row>
    <x:row r="24">
      <x:c r="A24" s="15" t="str">
        <x:v>P1-08</x:v>
      </x:c>
      <x:c r="B24" s="15" t="n">
        <x:v>1</x:v>
      </x:c>
      <x:c r="C24" s="15" t="str">
        <x:v>Frontend</x:v>
      </x:c>
      <x:c r="D24" s="15" t="str">
        <x:v>Implement login/session recovery UX</x:v>
      </x:c>
      <x:c r="E24" s="15" t="str">
        <x:v>Handle auth lifecycle cleanly.</x:v>
      </x:c>
      <x:c r="F24" s="15" t="str">
        <x:v>Create login screen, protected routes, session bootstrap, expired-session redirect, return-path handling.</x:v>
      </x:c>
      <x:c r="G24" s="15" t="str">
        <x:v>TanStack Query tracks /me; no tokens in localStorage.</x:v>
      </x:c>
      <x:c r="H24" s="15" t="str">
        <x:v>Auth API</x:v>
      </x:c>
      <x:c r="I24" s="15" t="str">
        <x:v>RTL/Playwright login/logout/expiry tests.</x:v>
      </x:c>
      <x:c r="J24" s="15" t="str">
        <x:v>User logs in/out; expired session returns safely to login.</x:v>
      </x:c>
      <x:c r="K24" s="15" t="str">
        <x:v>Critical E2E auth journey passes.</x:v>
      </x:c>
      <x:c r="L24" s="15" t="str">
        <x:v>Must</x:v>
      </x:c>
      <x:c r="M24" s="15" t="str">
        <x:v>Not Started</x:v>
      </x:c>
      <x:c r="N24" s="15" t="str"/>
      <x:c r="O24" s="15" t="str"/>
      <x:c r="P24" s="15" t="str"/>
      <x:c r="Q24" s="15" t="str">
        <x:v>20,25</x:v>
      </x:c>
    </x:row>
    <x:row r="25">
      <x:c r="A25" s="15" t="str">
        <x:v>P1-09</x:v>
      </x:c>
      <x:c r="B25" s="15" t="n">
        <x:v>1</x:v>
      </x:c>
      <x:c r="C25" s="15" t="str">
        <x:v>Frontend</x:v>
      </x:c>
      <x:c r="D25" s="15" t="str">
        <x:v>Clear private state on logout</x:v>
      </x:c>
      <x:c r="E25" s="15" t="str">
        <x:v>Prevent shared-device leakage.</x:v>
      </x:c>
      <x:c r="F25" s="15" t="str">
        <x:v>Clear query cache, user-scoped Zustand, active streams and drafts on logout.</x:v>
      </x:c>
      <x:c r="G25" s="15" t="str">
        <x:v>Logout response invalidates backend session then frontend state.</x:v>
      </x:c>
      <x:c r="H25" s="15" t="str">
        <x:v>Frontend auth</x:v>
      </x:c>
      <x:c r="I25" s="15" t="str">
        <x:v>Component/E2E shared-device test.</x:v>
      </x:c>
      <x:c r="J25" s="15" t="str">
        <x:v>Next user cannot see previous user's cached data.</x:v>
      </x:c>
      <x:c r="K25" s="15" t="str">
        <x:v>Logout privacy test passes.</x:v>
      </x:c>
      <x:c r="L25" s="15" t="str">
        <x:v>Must</x:v>
      </x:c>
      <x:c r="M25" s="15" t="str">
        <x:v>Not Started</x:v>
      </x:c>
      <x:c r="N25" s="15" t="str"/>
      <x:c r="O25" s="15" t="str"/>
      <x:c r="P25" s="15" t="str"/>
      <x:c r="Q25" s="15" t="str">
        <x:v>20,22</x:v>
      </x:c>
    </x:row>
    <x:row r="26">
      <x:c r="A26" s="15" t="str">
        <x:v>P1-10</x:v>
      </x:c>
      <x:c r="B26" s="15" t="n">
        <x:v>1</x:v>
      </x:c>
      <x:c r="C26" s="15" t="str">
        <x:v>Security</x:v>
      </x:c>
      <x:c r="D26" s="15" t="str">
        <x:v>Add ownership authorization test harness</x:v>
      </x:c>
      <x:c r="E26" s="15" t="str">
        <x:v>Make IDOR checks reusable for every future resource.</x:v>
      </x:c>
      <x:c r="F26" s="15" t="str">
        <x:v>Create test helpers with User A/User B and assertion patterns for 403/404/no data.</x:v>
      </x:c>
      <x:c r="G26" s="15" t="str">
        <x:v>Every new user-owned API reuses harness.</x:v>
      </x:c>
      <x:c r="H26" s="15" t="str">
        <x:v>Auth</x:v>
      </x:c>
      <x:c r="I26" s="15" t="str">
        <x:v>Harness self-test.</x:v>
      </x:c>
      <x:c r="J26" s="15" t="str">
        <x:v>Cross-user tests become cheap and mandatory.</x:v>
      </x:c>
      <x:c r="K26" s="15" t="str">
        <x:v>Harness used by subsequent phases.</x:v>
      </x:c>
      <x:c r="L26" s="15" t="str">
        <x:v>Must</x:v>
      </x:c>
      <x:c r="M26" s="15" t="str">
        <x:v>Not Started</x:v>
      </x:c>
      <x:c r="N26" s="15" t="str"/>
      <x:c r="O26" s="15" t="str"/>
      <x:c r="P26" s="15" t="str"/>
      <x:c r="Q26" s="15" t="str">
        <x:v>22,25</x:v>
      </x:c>
    </x:row>
    <x:row r="27">
      <x:c r="A27" s="15" t="str">
        <x:v>P1-11</x:v>
      </x:c>
      <x:c r="B27" s="15" t="n">
        <x:v>1</x:v>
      </x:c>
      <x:c r="C27" s="15" t="str">
        <x:v>Gate</x:v>
      </x:c>
      <x:c r="D27" s="15" t="str">
        <x:v>Phase 1 end-to-end gate</x:v>
      </x:c>
      <x:c r="E27" s="15" t="str">
        <x:v>Prove private student workspace exists.</x:v>
      </x:c>
      <x:c r="F27" s="15" t="str">
        <x:v>Run auth, session, CSRF, CORS, ownership and frontend journey as one release gate.</x:v>
      </x:c>
      <x:c r="G27" s="15" t="str">
        <x:v>All Phase 1 pieces operate together.</x:v>
      </x:c>
      <x:c r="H27" s="15" t="str">
        <x:v>All P1 tasks</x:v>
      </x:c>
      <x:c r="I27" s="15" t="str">
        <x:v>Playwright + backend security suite.</x:v>
      </x:c>
      <x:c r="J27" s="15" t="str">
        <x:v>Student securely enters and exits private workspace.</x:v>
      </x:c>
      <x:c r="K27" s="15" t="str">
        <x:v>All Phase 1 acceptance tests green; no cross-user leak.</x:v>
      </x:c>
      <x:c r="L27" s="15" t="str">
        <x:v>Must</x:v>
      </x:c>
      <x:c r="M27" s="15" t="str">
        <x:v>Not Started</x:v>
      </x:c>
      <x:c r="N27" s="15" t="str"/>
      <x:c r="O27" s="15" t="str"/>
      <x:c r="P27" s="15" t="str"/>
      <x:c r="Q27" s="15" t="str">
        <x:v>26</x:v>
      </x:c>
    </x:row>
    <x:row r="28">
      <x:c r="A28" s="15" t="str">
        <x:v>P2-01</x:v>
      </x:c>
      <x:c r="B28" s="15" t="n">
        <x:v>2</x:v>
      </x:c>
      <x:c r="C28" s="15" t="str">
        <x:v>Database</x:v>
      </x:c>
      <x:c r="D28" s="15" t="str">
        <x:v>Create subject/topic/subtopic schema</x:v>
      </x:c>
      <x:c r="E28" s="15" t="str">
        <x:v>Persist learner organization.</x:v>
      </x:c>
      <x:c r="F28" s="15" t="str">
        <x:v>Create subjects, topics, subtopics tables/entities/repos with ownership path and archive status.</x:v>
      </x:c>
      <x:c r="G28" s="15" t="str">
        <x:v>Subject belongs to user; Topic belongs to Subject; one explicit Subtopic level.</x:v>
      </x:c>
      <x:c r="H28" s="15" t="str">
        <x:v>P1 identity</x:v>
      </x:c>
      <x:c r="I28" s="15" t="str">
        <x:v>Flyway, FK, uniqueness, ownership repository tests.</x:v>
      </x:c>
      <x:c r="J28" s="15" t="str">
        <x:v>Organization persists with correct hierarchy.</x:v>
      </x:c>
      <x:c r="K28" s="15" t="str">
        <x:v>Schema and CRUD tests pass.</x:v>
      </x:c>
      <x:c r="L28" s="15" t="str">
        <x:v>Must</x:v>
      </x:c>
      <x:c r="M28" s="15" t="str">
        <x:v>Not Started</x:v>
      </x:c>
      <x:c r="N28" s="15" t="str"/>
      <x:c r="O28" s="15" t="str"/>
      <x:c r="P28" s="15" t="str"/>
      <x:c r="Q28" s="15" t="str">
        <x:v>18</x:v>
      </x:c>
    </x:row>
    <x:row r="29">
      <x:c r="A29" s="15" t="str">
        <x:v>P2-02</x:v>
      </x:c>
      <x:c r="B29" s="15" t="n">
        <x:v>2</x:v>
      </x:c>
      <x:c r="C29" s="15" t="str">
        <x:v>Backend</x:v>
      </x:c>
      <x:c r="D29" s="15" t="str">
        <x:v>Implement Subject CRUD use cases/API</x:v>
      </x:c>
      <x:c r="E29" s="15" t="str">
        <x:v>Allow user-owned subject management.</x:v>
      </x:c>
      <x:c r="F29" s="15" t="str">
        <x:v>Create create/list/get/update/archive subject use cases and REST endpoints.</x:v>
      </x:c>
      <x:c r="G29" s="15" t="str">
        <x:v>All queries derive authenticated owner.</x:v>
      </x:c>
      <x:c r="H29" s="15" t="str">
        <x:v>Subject schema</x:v>
      </x:c>
      <x:c r="I29" s="15" t="str">
        <x:v>API validation and User A/B authorization tests.</x:v>
      </x:c>
      <x:c r="J29" s="15" t="str">
        <x:v>Student only sees own subjects.</x:v>
      </x:c>
      <x:c r="K29" s="15" t="str">
        <x:v>CRUD and IDOR suite pass.</x:v>
      </x:c>
      <x:c r="L29" s="15" t="str">
        <x:v>Must</x:v>
      </x:c>
      <x:c r="M29" s="15" t="str">
        <x:v>Not Started</x:v>
      </x:c>
      <x:c r="N29" s="15" t="str"/>
      <x:c r="O29" s="15" t="str"/>
      <x:c r="P29" s="15" t="str"/>
      <x:c r="Q29" s="15" t="str">
        <x:v>19,22</x:v>
      </x:c>
    </x:row>
    <x:row r="30">
      <x:c r="A30" s="15" t="str">
        <x:v>P2-03</x:v>
      </x:c>
      <x:c r="B30" s="15" t="n">
        <x:v>2</x:v>
      </x:c>
      <x:c r="C30" s="15" t="str">
        <x:v>Backend</x:v>
      </x:c>
      <x:c r="D30" s="15" t="str">
        <x:v>Implement Topic/Subtopic CRUD use cases/API</x:v>
      </x:c>
      <x:c r="E30" s="15" t="str">
        <x:v>Allow organization within subjects.</x:v>
      </x:c>
      <x:c r="F30" s="15" t="str">
        <x:v>Create topic/subtopic create/list/update/archive APIs with parent ownership validation.</x:v>
      </x:c>
      <x:c r="G30" s="15" t="str">
        <x:v>Topic cannot be attached to another user's subject.</x:v>
      </x:c>
      <x:c r="H30" s="15" t="str">
        <x:v>Subject API</x:v>
      </x:c>
      <x:c r="I30" s="15" t="str">
        <x:v>CRUD, invalid parent, archive tests.</x:v>
      </x:c>
      <x:c r="J30" s="15" t="str">
        <x:v>Hierarchy remains ownership-safe.</x:v>
      </x:c>
      <x:c r="K30" s="15" t="str">
        <x:v>API tests pass.</x:v>
      </x:c>
      <x:c r="L30" s="15" t="str">
        <x:v>Must</x:v>
      </x:c>
      <x:c r="M30" s="15" t="str">
        <x:v>Not Started</x:v>
      </x:c>
      <x:c r="N30" s="15" t="str"/>
      <x:c r="O30" s="15" t="str"/>
      <x:c r="P30" s="15" t="str"/>
      <x:c r="Q30" s="15" t="str">
        <x:v>18,19</x:v>
      </x:c>
    </x:row>
    <x:row r="31">
      <x:c r="A31" s="15" t="str">
        <x:v>P2-04</x:v>
      </x:c>
      <x:c r="B31" s="15" t="n">
        <x:v>2</x:v>
      </x:c>
      <x:c r="C31" s="15" t="str">
        <x:v>Database</x:v>
      </x:c>
      <x:c r="D31" s="15" t="str">
        <x:v>Create Material and MaterialVersion foundation</x:v>
      </x:c>
      <x:c r="E31" s="15" t="str">
        <x:v>Persist upload lifecycle separately from learning topics.</x:v>
      </x:c>
      <x:c r="F31" s="15" t="str">
        <x:v>Create materials/material_versions schema with storage key, statuses, active_version_id, hashes/metadata.</x:v>
      </x:c>
      <x:c r="G31" s="15" t="str">
        <x:v>Material belongs to user; versions are immutable source revisions.</x:v>
      </x:c>
      <x:c r="H31" s="15" t="str">
        <x:v>P1 + Flyway</x:v>
      </x:c>
      <x:c r="I31" s="15" t="str">
        <x:v>FK/version uniqueness/status tests.</x:v>
      </x:c>
      <x:c r="J31" s="15" t="str">
        <x:v>Materials can have versioned lifecycle.</x:v>
      </x:c>
      <x:c r="K31" s="15" t="str">
        <x:v>Schema/repository tests pass.</x:v>
      </x:c>
      <x:c r="L31" s="15" t="str">
        <x:v>Must</x:v>
      </x:c>
      <x:c r="M31" s="15" t="str">
        <x:v>Not Started</x:v>
      </x:c>
      <x:c r="N31" s="15" t="str"/>
      <x:c r="O31" s="15" t="str"/>
      <x:c r="P31" s="15" t="str"/>
      <x:c r="Q31" s="15" t="str">
        <x:v>18</x:v>
      </x:c>
    </x:row>
    <x:row r="32">
      <x:c r="A32" s="15" t="str">
        <x:v>P2-05</x:v>
      </x:c>
      <x:c r="B32" s="15" t="n">
        <x:v>2</x:v>
      </x:c>
      <x:c r="C32" s="15" t="str">
        <x:v>Storage</x:v>
      </x:c>
      <x:c r="D32" s="15" t="str">
        <x:v>Implement object-storage port</x:v>
      </x:c>
      <x:c r="E32" s="15" t="str">
        <x:v>Separate binary storage from DB.</x:v>
      </x:c>
      <x:c r="F32" s="15" t="str">
        <x:v>Create BinaryObjectStore port + local filesystem/local S3-compatible implementation for development.</x:v>
      </x:c>
      <x:c r="G32" s="15" t="str">
        <x:v>Backend stores opaque storage key; user filename is display metadata only.</x:v>
      </x:c>
      <x:c r="H32" s="15" t="str">
        <x:v>Material schema</x:v>
      </x:c>
      <x:c r="I32" s="15" t="str">
        <x:v>Contract tests: put/get/delete, traversal-safe keys.</x:v>
      </x:c>
      <x:c r="J32" s="15" t="str">
        <x:v>Original file can be stored/retrieved locally without DB blob.</x:v>
      </x:c>
      <x:c r="K32" s="15" t="str">
        <x:v>Storage contract tests pass.</x:v>
      </x:c>
      <x:c r="L32" s="15" t="str">
        <x:v>Must</x:v>
      </x:c>
      <x:c r="M32" s="15" t="str">
        <x:v>Not Started</x:v>
      </x:c>
      <x:c r="N32" s="15" t="str"/>
      <x:c r="O32" s="15" t="str"/>
      <x:c r="P32" s="15" t="str"/>
      <x:c r="Q32" s="15" t="str">
        <x:v>17,21,22</x:v>
      </x:c>
    </x:row>
    <x:row r="33">
      <x:c r="A33" s="15" t="str">
        <x:v>P2-06</x:v>
      </x:c>
      <x:c r="B33" s="15" t="n">
        <x:v>2</x:v>
      </x:c>
      <x:c r="C33" s="15" t="str">
        <x:v>Backend</x:v>
      </x:c>
      <x:c r="D33" s="15" t="str">
        <x:v>Implement upload initialization endpoint</x:v>
      </x:c>
      <x:c r="E33" s="15" t="str">
        <x:v>Accept supported material and create processing placeholder.</x:v>
      </x:c>
      <x:c r="F33" s="15" t="str">
        <x:v>Multipart endpoint validates basic limits/type, stores original, creates Material + v1 + initial state/job placeholder.</x:v>
      </x:c>
      <x:c r="G33" s="15" t="str">
        <x:v>HTTP returns quickly; does not parse whole document.</x:v>
      </x:c>
      <x:c r="H33" s="15" t="str">
        <x:v>Object store + material schema</x:v>
      </x:c>
      <x:c r="I33" s="15" t="str">
        <x:v>Multipart API tests: valid, empty, unsupported, oversized synthetic.</x:v>
      </x:c>
      <x:c r="J33" s="15" t="str">
        <x:v>Upload returns PROCESSING/UPLOADED metadata promptly.</x:v>
      </x:c>
      <x:c r="K33" s="15" t="str">
        <x:v>API and storage tests pass.</x:v>
      </x:c>
      <x:c r="L33" s="15" t="str">
        <x:v>Must</x:v>
      </x:c>
      <x:c r="M33" s="15" t="str">
        <x:v>Not Started</x:v>
      </x:c>
      <x:c r="N33" s="15" t="str"/>
      <x:c r="O33" s="15" t="str"/>
      <x:c r="P33" s="15" t="str"/>
      <x:c r="Q33" s="15" t="str">
        <x:v>19,21</x:v>
      </x:c>
    </x:row>
    <x:row r="34">
      <x:c r="A34" s="15" t="str">
        <x:v>P2-07</x:v>
      </x:c>
      <x:c r="B34" s="15" t="n">
        <x:v>2</x:v>
      </x:c>
      <x:c r="C34" s="15" t="str">
        <x:v>Backend</x:v>
      </x:c>
      <x:c r="D34" s="15" t="str">
        <x:v>Implement material list/detail/delete</x:v>
      </x:c>
      <x:c r="E34" s="15" t="str">
        <x:v>Let student manage uploaded resources.</x:v>
      </x:c>
      <x:c r="F34" s="15" t="str">
        <x:v>Create list/detail/delete APIs including status and metadata.</x:v>
      </x:c>
      <x:c r="G34" s="15" t="str">
        <x:v>Delete immediately removes future retrieval eligibility when later indexes exist.</x:v>
      </x:c>
      <x:c r="H34" s="15" t="str">
        <x:v>Material foundation</x:v>
      </x:c>
      <x:c r="I34" s="15" t="str">
        <x:v>Authorization, pagination, delete-state tests.</x:v>
      </x:c>
      <x:c r="J34" s="15" t="str">
        <x:v>Student sees only own materials and can remove them.</x:v>
      </x:c>
      <x:c r="K34" s="15" t="str">
        <x:v>CRUD + ownership tests pass.</x:v>
      </x:c>
      <x:c r="L34" s="15" t="str">
        <x:v>Must</x:v>
      </x:c>
      <x:c r="M34" s="15" t="str">
        <x:v>Not Started</x:v>
      </x:c>
      <x:c r="N34" s="15" t="str"/>
      <x:c r="O34" s="15" t="str"/>
      <x:c r="P34" s="15" t="str"/>
      <x:c r="Q34" s="15" t="str">
        <x:v>18,22</x:v>
      </x:c>
    </x:row>
    <x:row r="35">
      <x:c r="A35" s="15" t="str">
        <x:v>P2-08</x:v>
      </x:c>
      <x:c r="B35" s="15" t="n">
        <x:v>2</x:v>
      </x:c>
      <x:c r="C35" s="15" t="str">
        <x:v>Database</x:v>
      </x:c>
      <x:c r="D35" s="15" t="str">
        <x:v>Create MaterialTopicLink</x:v>
      </x:c>
      <x:c r="E35" s="15" t="str">
        <x:v>Keep Material ≠ Topic while allowing mappings.</x:v>
      </x:c>
      <x:c r="F35" s="15" t="str">
        <x:v>Create material_topic_links with origin/status/version/node optional references.</x:v>
      </x:c>
      <x:c r="G35" s="15" t="str">
        <x:v>Mapping is many-to-many and validates same-user ownership.</x:v>
      </x:c>
      <x:c r="H35" s="15" t="str">
        <x:v>Subject/topic + material</x:v>
      </x:c>
      <x:c r="I35" s="15" t="str">
        <x:v>Cross-user mapping rejection, duplicate-active-link tests.</x:v>
      </x:c>
      <x:c r="J35" s="15" t="str">
        <x:v>A material can support many topics and vice versa.</x:v>
      </x:c>
      <x:c r="K35" s="15" t="str">
        <x:v>Schema/use-case tests pass.</x:v>
      </x:c>
      <x:c r="L35" s="15" t="str">
        <x:v>Must</x:v>
      </x:c>
      <x:c r="M35" s="15" t="str">
        <x:v>Not Started</x:v>
      </x:c>
      <x:c r="N35" s="15" t="str"/>
      <x:c r="O35" s="15" t="str"/>
      <x:c r="P35" s="15" t="str"/>
      <x:c r="Q35" s="15" t="str">
        <x:v>14,18</x:v>
      </x:c>
    </x:row>
    <x:row r="36">
      <x:c r="A36" s="15" t="str">
        <x:v>P2-09</x:v>
      </x:c>
      <x:c r="B36" s="15" t="n">
        <x:v>2</x:v>
      </x:c>
      <x:c r="C36" s="15" t="str">
        <x:v>Frontend</x:v>
      </x:c>
      <x:c r="D36" s="15" t="str">
        <x:v>Build Subjects and Topics UI</x:v>
      </x:c>
      <x:c r="E36" s="15" t="str">
        <x:v>Make organization usable without feature overload.</x:v>
      </x:c>
      <x:c r="F36" s="15" t="str">
        <x:v>Create subject list, subject detail, topic cards/forms, archive interactions.</x:v>
      </x:c>
      <x:c r="G36" s="15" t="str">
        <x:v>Primary CTA from topic is future Study Mission, not tool selector.</x:v>
      </x:c>
      <x:c r="H36" s="15" t="str">
        <x:v>Subject/topic APIs</x:v>
      </x:c>
      <x:c r="I36" s="15" t="str">
        <x:v>RTL + Playwright CRUD journey.</x:v>
      </x:c>
      <x:c r="J36" s="15" t="str">
        <x:v>Student organizes study areas cleanly.</x:v>
      </x:c>
      <x:c r="K36" s="15" t="str">
        <x:v>Desktop/mobile CRUD flow passes.</x:v>
      </x:c>
      <x:c r="L36" s="15" t="str">
        <x:v>Must</x:v>
      </x:c>
      <x:c r="M36" s="15" t="str">
        <x:v>Not Started</x:v>
      </x:c>
      <x:c r="N36" s="15" t="str"/>
      <x:c r="O36" s="15" t="str"/>
      <x:c r="P36" s="15" t="str"/>
      <x:c r="Q36" s="15" t="str">
        <x:v>20</x:v>
      </x:c>
    </x:row>
    <x:row r="37">
      <x:c r="A37" s="15" t="str">
        <x:v>P2-10</x:v>
      </x:c>
      <x:c r="B37" s="15" t="n">
        <x:v>2</x:v>
      </x:c>
      <x:c r="C37" s="15" t="str">
        <x:v>Frontend</x:v>
      </x:c>
      <x:c r="D37" s="15" t="str">
        <x:v>Build Materials UI and upload transfer progress</x:v>
      </x:c>
      <x:c r="E37" s="15" t="str">
        <x:v>Provide simple upload lifecycle.</x:v>
      </x:c>
      <x:c r="F37" s="15" t="str">
        <x:v>Create materials list, file picker/drop zone, transfer progress, metadata and delete UI.</x:v>
      </x:c>
      <x:c r="G37" s="15" t="str">
        <x:v>Transfer progress is distinct from backend processing progress.</x:v>
      </x:c>
      <x:c r="H37" s="15" t="str">
        <x:v>Material APIs</x:v>
      </x:c>
      <x:c r="I37" s="15" t="str">
        <x:v>Component/E2E upload tests.</x:v>
      </x:c>
      <x:c r="J37" s="15" t="str">
        <x:v>Student can upload and see accepted file immediately.</x:v>
      </x:c>
      <x:c r="K37" s="15" t="str">
        <x:v>Upload journey passes.</x:v>
      </x:c>
      <x:c r="L37" s="15" t="str">
        <x:v>Must</x:v>
      </x:c>
      <x:c r="M37" s="15" t="str">
        <x:v>Not Started</x:v>
      </x:c>
      <x:c r="N37" s="15" t="str"/>
      <x:c r="O37" s="15" t="str"/>
      <x:c r="P37" s="15" t="str"/>
      <x:c r="Q37" s="15" t="str">
        <x:v>20,21</x:v>
      </x:c>
    </x:row>
    <x:row r="38">
      <x:c r="A38" s="15" t="str">
        <x:v>P2-11</x:v>
      </x:c>
      <x:c r="B38" s="15" t="n">
        <x:v>2</x:v>
      </x:c>
      <x:c r="C38" s="15" t="str">
        <x:v>Security</x:v>
      </x:c>
      <x:c r="D38" s="15" t="str">
        <x:v>Harden upload intake baseline</x:v>
      </x:c>
      <x:c r="E38" s="15" t="str">
        <x:v>Reject obvious malicious/invalid input before parsing.</x:v>
      </x:c>
      <x:c r="F38" s="15" t="str">
        <x:v>Validate filename as metadata, MIME via Tika/content, size and supported types; safe generated storage keys.</x:v>
      </x:c>
      <x:c r="G38" s="15" t="str">
        <x:v>Input cannot select paths or bypass type checks.</x:v>
      </x:c>
      <x:c r="H38" s="15" t="str">
        <x:v>Upload API</x:v>
      </x:c>
      <x:c r="I38" s="15" t="str">
        <x:v>Path traversal filename, disguised MIME, empty/corrupt/basic limit tests.</x:v>
      </x:c>
      <x:c r="J38" s="15" t="str">
        <x:v>Unsafe intake is rejected safely.</x:v>
      </x:c>
      <x:c r="K38" s="15" t="str">
        <x:v>Security fixture tests pass.</x:v>
      </x:c>
      <x:c r="L38" s="15" t="str">
        <x:v>Must</x:v>
      </x:c>
      <x:c r="M38" s="15" t="str">
        <x:v>Not Started</x:v>
      </x:c>
      <x:c r="N38" s="15" t="str"/>
      <x:c r="O38" s="15" t="str"/>
      <x:c r="P38" s="15" t="str"/>
      <x:c r="Q38" s="15" t="str">
        <x:v>21,22,25</x:v>
      </x:c>
    </x:row>
    <x:row r="39">
      <x:c r="A39" s="15" t="str">
        <x:v>P2-12</x:v>
      </x:c>
      <x:c r="B39" s="15" t="n">
        <x:v>2</x:v>
      </x:c>
      <x:c r="C39" s="15" t="str">
        <x:v>Observability</x:v>
      </x:c>
      <x:c r="D39" s="15" t="str">
        <x:v>Add material lifecycle telemetry</x:v>
      </x:c>
      <x:c r="E39" s="15" t="str">
        <x:v>Make uploads diagnosable.</x:v>
      </x:c>
      <x:c r="F39" s="15" t="str">
        <x:v>Log/metric material accepted/rejected/deleted and status changes using IDs only.</x:v>
      </x:c>
      <x:c r="G39" s="15" t="str">
        <x:v>No source content or secrets in logs.</x:v>
      </x:c>
      <x:c r="H39" s="15" t="str">
        <x:v>Material lifecycle</x:v>
      </x:c>
      <x:c r="I39" s="15" t="str">
        <x:v>Inspect logs; privacy grep tests.</x:v>
      </x:c>
      <x:c r="J39" s="15" t="str">
        <x:v>Operations can diagnose upload lifecycle.</x:v>
      </x:c>
      <x:c r="K39" s="15" t="str">
        <x:v>Telemetry fields documented/tested.</x:v>
      </x:c>
      <x:c r="L39" s="15" t="str">
        <x:v>Should</x:v>
      </x:c>
      <x:c r="M39" s="15" t="str">
        <x:v>Not Started</x:v>
      </x:c>
      <x:c r="N39" s="15" t="str"/>
      <x:c r="O39" s="15" t="str"/>
      <x:c r="P39" s="15" t="str"/>
      <x:c r="Q39" s="15" t="str">
        <x:v>24</x:v>
      </x:c>
    </x:row>
    <x:row r="40">
      <x:c r="A40" s="15" t="str">
        <x:v>P2-13</x:v>
      </x:c>
      <x:c r="B40" s="15" t="n">
        <x:v>2</x:v>
      </x:c>
      <x:c r="C40" s="15" t="str">
        <x:v>Gate</x:v>
      </x:c>
      <x:c r="D40" s="15" t="str">
        <x:v>Phase 2 end-to-end gate</x:v>
      </x:c>
      <x:c r="E40" s="15" t="str">
        <x:v>Prove private learning organization and upload lifecycle.</x:v>
      </x:c>
      <x:c r="F40" s="15" t="str">
        <x:v>Run create subject/topic, upload file, link/delete, cross-user checks.</x:v>
      </x:c>
      <x:c r="G40" s="15" t="str">
        <x:v>All components operate together.</x:v>
      </x:c>
      <x:c r="H40" s="15" t="str">
        <x:v>All P2 tasks</x:v>
      </x:c>
      <x:c r="I40" s="15" t="str">
        <x:v>Playwright + backend integration.</x:v>
      </x:c>
      <x:c r="J40" s="15" t="str">
        <x:v>Student can organize private materials safely.</x:v>
      </x:c>
      <x:c r="K40" s="15" t="str">
        <x:v>Phase gate green.</x:v>
      </x:c>
      <x:c r="L40" s="15" t="str">
        <x:v>Must</x:v>
      </x:c>
      <x:c r="M40" s="15" t="str">
        <x:v>Not Started</x:v>
      </x:c>
      <x:c r="N40" s="15" t="str"/>
      <x:c r="O40" s="15" t="str"/>
      <x:c r="P40" s="15" t="str"/>
      <x:c r="Q40" s="15" t="str">
        <x:v>26</x:v>
      </x:c>
    </x:row>
    <x:row r="41">
      <x:c r="A41" s="15" t="str">
        <x:v>P3-01</x:v>
      </x:c>
      <x:c r="B41" s="15" t="n">
        <x:v>3</x:v>
      </x:c>
      <x:c r="C41" s="15" t="str">
        <x:v>Database</x:v>
      </x:c>
      <x:c r="D41" s="15" t="str">
        <x:v>Create ProcessingJob schema</x:v>
      </x:c>
      <x:c r="E41" s="15" t="str">
        <x:v>Persist durable pipeline state.</x:v>
      </x:c>
      <x:c r="F41" s="15" t="str">
        <x:v>Create processing_jobs table/entity with type,status,priority,progress,attempts,locks,next_attempt,heartbeat/error fields.</x:v>
      </x:c>
      <x:c r="G41" s="15" t="str">
        <x:v>Worker state survives restarts.</x:v>
      </x:c>
      <x:c r="H41" s="15" t="str">
        <x:v>P2 materials</x:v>
      </x:c>
      <x:c r="I41" s="15" t="str">
        <x:v>Migration/constraint tests.</x:v>
      </x:c>
      <x:c r="J41" s="15" t="str">
        <x:v>Jobs can be claimed/retried durably.</x:v>
      </x:c>
      <x:c r="K41" s="15" t="str">
        <x:v>Schema tests pass.</x:v>
      </x:c>
      <x:c r="L41" s="15" t="str">
        <x:v>Must</x:v>
      </x:c>
      <x:c r="M41" s="15" t="str">
        <x:v>Not Started</x:v>
      </x:c>
      <x:c r="N41" s="15" t="str"/>
      <x:c r="O41" s="15" t="str"/>
      <x:c r="P41" s="15" t="str"/>
      <x:c r="Q41" s="15" t="str">
        <x:v>18,21</x:v>
      </x:c>
    </x:row>
    <x:row r="42">
      <x:c r="A42" s="15" t="str">
        <x:v>P3-02</x:v>
      </x:c>
      <x:c r="B42" s="15" t="n">
        <x:v>3</x:v>
      </x:c>
      <x:c r="C42" s="15" t="str">
        <x:v>Processing</x:v>
      </x:c>
      <x:c r="D42" s="15" t="str">
        <x:v>Implement atomic job claiming</x:v>
      </x:c>
      <x:c r="E42" s="15" t="str">
        <x:v>Prevent duplicate worker execution.</x:v>
      </x:c>
      <x:c r="F42" s="15" t="str">
        <x:v>Implement PostgreSQL FOR UPDATE SKIP LOCKED claim transaction.</x:v>
      </x:c>
      <x:c r="G42" s="15" t="str">
        <x:v>Worker marks RUNNING/lock fields then commits before work.</x:v>
      </x:c>
      <x:c r="H42" s="15" t="str">
        <x:v>ProcessingJob</x:v>
      </x:c>
      <x:c r="I42" s="15" t="str">
        <x:v>Two-worker concurrency integration test.</x:v>
      </x:c>
      <x:c r="J42" s="15" t="str">
        <x:v>Only one worker claims a job.</x:v>
      </x:c>
      <x:c r="K42" s="15" t="str">
        <x:v>Concurrency test passes.</x:v>
      </x:c>
      <x:c r="L42" s="15" t="str">
        <x:v>Must</x:v>
      </x:c>
      <x:c r="M42" s="15" t="str">
        <x:v>Not Started</x:v>
      </x:c>
      <x:c r="N42" s="15" t="str"/>
      <x:c r="O42" s="15" t="str"/>
      <x:c r="P42" s="15" t="str"/>
      <x:c r="Q42" s="15" t="str">
        <x:v>21,25</x:v>
      </x:c>
    </x:row>
    <x:row r="43">
      <x:c r="A43" s="15" t="str">
        <x:v>P3-03</x:v>
      </x:c>
      <x:c r="B43" s="15" t="n">
        <x:v>3</x:v>
      </x:c>
      <x:c r="C43" s="15" t="str">
        <x:v>Processing</x:v>
      </x:c>
      <x:c r="D43" s="15" t="str">
        <x:v>Implement processing dispatcher and stage handlers</x:v>
      </x:c>
      <x:c r="E43" s="15" t="str">
        <x:v>Make pipeline explicit.</x:v>
      </x:c>
      <x:c r="F43" s="15" t="str">
        <x:v>Create dispatcher plus VALIDATE/EXTRACT/STRUCTURE/VISUAL/NORMALIZE/CHUNK handlers.</x:v>
      </x:c>
      <x:c r="G43" s="15" t="str">
        <x:v>Each stage is independent, observable and retryable.</x:v>
      </x:c>
      <x:c r="H43" s="15" t="str">
        <x:v>Job claiming</x:v>
      </x:c>
      <x:c r="I43" s="15" t="str">
        <x:v>Unit tests per dispatcher route.</x:v>
      </x:c>
      <x:c r="J43" s="15" t="str">
        <x:v>Jobs execute correct handler and next stage.</x:v>
      </x:c>
      <x:c r="K43" s="15" t="str">
        <x:v>Handler contract tests pass.</x:v>
      </x:c>
      <x:c r="L43" s="15" t="str">
        <x:v>Must</x:v>
      </x:c>
      <x:c r="M43" s="15" t="str">
        <x:v>Not Started</x:v>
      </x:c>
      <x:c r="N43" s="15" t="str"/>
      <x:c r="O43" s="15" t="str"/>
      <x:c r="P43" s="15" t="str"/>
      <x:c r="Q43" s="15" t="str">
        <x:v>21</x:v>
      </x:c>
    </x:row>
    <x:row r="44">
      <x:c r="A44" s="15" t="str">
        <x:v>P3-04</x:v>
      </x:c>
      <x:c r="B44" s="15" t="n">
        <x:v>3</x:v>
      </x:c>
      <x:c r="C44" s="15" t="str">
        <x:v>Parsing</x:v>
      </x:c>
      <x:c r="D44" s="15" t="str">
        <x:v>Implement PDF metadata/native text extraction</x:v>
      </x:c>
      <x:c r="E44" s="15" t="str">
        <x:v>Read native PDFs in batches.</x:v>
      </x:c>
      <x:c r="F44" s="15" t="str">
        <x:v>Use Tika/PDFBox to detect page count, metadata, extract ordered page text without whole-file string.</x:v>
      </x:c>
      <x:c r="G44" s="15" t="str">
        <x:v>Persist bounded batch output.</x:v>
      </x:c>
      <x:c r="H44" s="15" t="str">
        <x:v>Object storage + jobs</x:v>
      </x:c>
      <x:c r="I44" s="15" t="str">
        <x:v>Native PDF fixture, 600-page synthetic/fixture memory test.</x:v>
      </x:c>
      <x:c r="J44" s="15" t="str">
        <x:v>Native PDFs become page/text blocks with progress.</x:v>
      </x:c>
      <x:c r="K44" s="15" t="str">
        <x:v>Fixture output matches expected.</x:v>
      </x:c>
      <x:c r="L44" s="15" t="str">
        <x:v>Must</x:v>
      </x:c>
      <x:c r="M44" s="15" t="str">
        <x:v>Not Started</x:v>
      </x:c>
      <x:c r="N44" s="15" t="str"/>
      <x:c r="O44" s="15" t="str"/>
      <x:c r="P44" s="15" t="str"/>
      <x:c r="Q44" s="15" t="str">
        <x:v>21,25</x:v>
      </x:c>
    </x:row>
    <x:row r="45">
      <x:c r="A45" s="15" t="str">
        <x:v>P3-05</x:v>
      </x:c>
      <x:c r="B45" s="15" t="n">
        <x:v>3</x:v>
      </x:c>
      <x:c r="C45" s="15" t="str">
        <x:v>Database</x:v>
      </x:c>
      <x:c r="D45" s="15" t="str">
        <x:v>Create DocumentNode/TextBlock schema</x:v>
      </x:c>
      <x:c r="E45" s="15" t="str">
        <x:v>Persist source structure before chunking.</x:v>
      </x:c>
      <x:c r="F45" s="15" t="str">
        <x:v>Create document_nodes/text_blocks tables/entities/repos with source order/page/extraction quality.</x:v>
      </x:c>
      <x:c r="G45" s="15" t="str">
        <x:v>Blocks retain hierarchy and provenance.</x:v>
      </x:c>
      <x:c r="H45" s="15" t="str">
        <x:v>Extraction</x:v>
      </x:c>
      <x:c r="I45" s="15" t="str">
        <x:v>Migration/repository tests.</x:v>
      </x:c>
      <x:c r="J45" s="15" t="str">
        <x:v>Normalized source structure is queryable.</x:v>
      </x:c>
      <x:c r="K45" s="15" t="str">
        <x:v>Tests pass.</x:v>
      </x:c>
      <x:c r="L45" s="15" t="str">
        <x:v>Must</x:v>
      </x:c>
      <x:c r="M45" s="15" t="str">
        <x:v>Not Started</x:v>
      </x:c>
      <x:c r="N45" s="15" t="str"/>
      <x:c r="O45" s="15" t="str"/>
      <x:c r="P45" s="15" t="str"/>
      <x:c r="Q45" s="15" t="str">
        <x:v>18,21</x:v>
      </x:c>
    </x:row>
    <x:row r="46">
      <x:c r="A46" s="15" t="str">
        <x:v>P3-06</x:v>
      </x:c>
      <x:c r="B46" s="15" t="n">
        <x:v>3</x:v>
      </x:c>
      <x:c r="C46" s="15" t="str">
        <x:v>Parsing</x:v>
      </x:c>
      <x:c r="D46" s="15" t="str">
        <x:v>Classify pages by extraction type</x:v>
      </x:c>
      <x:c r="E46" s="15" t="str">
        <x:v>Drive OCR decisions safely.</x:v>
      </x:c>
      <x:c r="F46" s="15" t="str">
        <x:v>Classify NATIVE_TEXT/MIXED/IMAGE_ONLY/UNREADABLE using native extraction signals.</x:v>
      </x:c>
      <x:c r="G46" s="15" t="str">
        <x:v>Only pages needing OCR go to OCR port.</x:v>
      </x:c>
      <x:c r="H46" s="15" t="str">
        <x:v>PDF extraction</x:v>
      </x:c>
      <x:c r="I46" s="15" t="str">
        <x:v>Mixed/scanned fixture classification tests.</x:v>
      </x:c>
      <x:c r="J46" s="15" t="str">
        <x:v>Pages route correctly.</x:v>
      </x:c>
      <x:c r="K46" s="15" t="str">
        <x:v>Classification tests pass.</x:v>
      </x:c>
      <x:c r="L46" s="15" t="str">
        <x:v>Must</x:v>
      </x:c>
      <x:c r="M46" s="15" t="str">
        <x:v>Not Started</x:v>
      </x:c>
      <x:c r="N46" s="15" t="str"/>
      <x:c r="O46" s="15" t="str"/>
      <x:c r="P46" s="15" t="str"/>
      <x:c r="Q46" s="15" t="str">
        <x:v>21</x:v>
      </x:c>
    </x:row>
    <x:row r="47">
      <x:c r="A47" s="15" t="str">
        <x:v>P3-07</x:v>
      </x:c>
      <x:c r="B47" s="15" t="n">
        <x:v>3</x:v>
      </x:c>
      <x:c r="C47" s="15" t="str">
        <x:v>OCR</x:v>
      </x:c>
      <x:c r="D47" s="15" t="str">
        <x:v>Create OCR port and initial implementation</x:v>
      </x:c>
      <x:c r="E47" s="15" t="str">
        <x:v>Support scanned pages without coupling pipeline.</x:v>
      </x:c>
      <x:c r="F47" s="15" t="str">
        <x:v>Define OcrPort/OcrResult and select practical initial implementation for local/pilot; persist method/quality.</x:v>
      </x:c>
      <x:c r="G47" s="15" t="str">
        <x:v>OCR uncertainty remains metadata.</x:v>
      </x:c>
      <x:c r="H47" s="15" t="str">
        <x:v>Page classification</x:v>
      </x:c>
      <x:c r="I47" s="15" t="str">
        <x:v>Strong/poor/no-text fixture tests.</x:v>
      </x:c>
      <x:c r="J47" s="15" t="str">
        <x:v>Scanned pages yield text or explicit limitation.</x:v>
      </x:c>
      <x:c r="K47" s="15" t="str">
        <x:v>Adapter tests pass; engine documented.</x:v>
      </x:c>
      <x:c r="L47" s="15" t="str">
        <x:v>Must</x:v>
      </x:c>
      <x:c r="M47" s="15" t="str">
        <x:v>Not Started</x:v>
      </x:c>
      <x:c r="N47" s="15" t="str"/>
      <x:c r="O47" s="15" t="str"/>
      <x:c r="P47" s="15" t="str"/>
      <x:c r="Q47" s="15" t="str">
        <x:v>21,27</x:v>
      </x:c>
    </x:row>
    <x:row r="48">
      <x:c r="A48" s="15" t="str">
        <x:v>P3-08</x:v>
      </x:c>
      <x:c r="B48" s="15" t="n">
        <x:v>3</x:v>
      </x:c>
      <x:c r="C48" s="15" t="str">
        <x:v>Parsing</x:v>
      </x:c>
      <x:c r="D48" s="15" t="str">
        <x:v>Implement structure detection heuristics</x:v>
      </x:c>
      <x:c r="E48" s="15" t="str">
        <x:v>Recover chapters/sections cheaply before AI.</x:v>
      </x:c>
      <x:c r="F48" s="15" t="str">
        <x:v>Use bookmarks/TOC/font/layout/numbering/repeated patterns to create DocumentNodes.</x:v>
      </x:c>
      <x:c r="G48" s="15" t="str">
        <x:v>Native signals first; AI not required for obvious structure.</x:v>
      </x:c>
      <x:c r="H48" s="15" t="str">
        <x:v>Text blocks</x:v>
      </x:c>
      <x:c r="I48" s="15" t="str">
        <x:v>Golden structure fixtures.</x:v>
      </x:c>
      <x:c r="J48" s="15" t="str">
        <x:v>Known headings/sections detected with source order.</x:v>
      </x:c>
      <x:c r="K48" s="15" t="str">
        <x:v>Fixture hierarchy matches expected tolerance.</x:v>
      </x:c>
      <x:c r="L48" s="15" t="str">
        <x:v>Must</x:v>
      </x:c>
      <x:c r="M48" s="15" t="str">
        <x:v>Not Started</x:v>
      </x:c>
      <x:c r="N48" s="15" t="str"/>
      <x:c r="O48" s="15" t="str"/>
      <x:c r="P48" s="15" t="str"/>
      <x:c r="Q48" s="15" t="str">
        <x:v>21</x:v>
      </x:c>
    </x:row>
    <x:row r="49">
      <x:c r="A49" s="15" t="str">
        <x:v>P3-09</x:v>
      </x:c>
      <x:c r="B49" s="15" t="n">
        <x:v>3</x:v>
      </x:c>
      <x:c r="C49" s="15" t="str">
        <x:v>AI/Ingestion</x:v>
      </x:c>
      <x:c r="D49" s="15" t="str">
        <x:v>Implement bounded AI-assisted structure fallback</x:v>
      </x:c>
      <x:c r="E49" s="15" t="str">
        <x:v>Use AI only for ambiguous hierarchy.</x:v>
      </x:c>
      <x:c r="F49" s="15" t="str">
        <x:v>Create typed structure-detection AI task for unresolved segments with strict structured output/versioning.</x:v>
      </x:c>
      <x:c r="G49" s="15" t="str">
        <x:v>Only ambiguous sampled content is sent; output labeled AI_ASSISTED.</x:v>
      </x:c>
      <x:c r="H49" s="15" t="str">
        <x:v>P5 AI provider normally later; create interface/stub now and enable after P5</x:v>
      </x:c>
      <x:c r="I49" s="15" t="str">
        <x:v>Mock contract tests now; live enablement deferred.</x:v>
      </x:c>
      <x:c r="J49" s="15" t="str">
        <x:v>Pipeline can defer ambiguous structure without blocking deterministic extraction.</x:v>
      </x:c>
      <x:c r="K49" s="15" t="str">
        <x:v>Stub boundary complete; no premature provider coupling.</x:v>
      </x:c>
      <x:c r="L49" s="15" t="str">
        <x:v>Should</x:v>
      </x:c>
      <x:c r="M49" s="15" t="str">
        <x:v>Not Started</x:v>
      </x:c>
      <x:c r="N49" s="15" t="str"/>
      <x:c r="O49" s="15" t="str"/>
      <x:c r="P49" s="15" t="str"/>
      <x:c r="Q49" s="15" t="str">
        <x:v>10,21</x:v>
      </x:c>
    </x:row>
    <x:row r="50">
      <x:c r="A50" s="15" t="str">
        <x:v>P3-10</x:v>
      </x:c>
      <x:c r="B50" s="15" t="n">
        <x:v>3</x:v>
      </x:c>
      <x:c r="C50" s="15" t="str">
        <x:v>Visuals</x:v>
      </x:c>
      <x:c r="D50" s="15" t="str">
        <x:v>Extract embedded/source visuals</x:v>
      </x:c>
      <x:c r="E50" s="15" t="str">
        <x:v>Preserve anatomy/medical figures as first-class assets.</x:v>
      </x:c>
      <x:c r="F50" s="15" t="str">
        <x:v>Extract images per page, store binary in object store, persist visual metadata/content hash.</x:v>
      </x:c>
      <x:c r="G50" s="15" t="str">
        <x:v>Original image bytes retained with page/hierarchy.</x:v>
      </x:c>
      <x:c r="H50" s="15" t="str">
        <x:v>PDF extraction + object store</x:v>
      </x:c>
      <x:c r="I50" s="15" t="str">
        <x:v>Mixed PDF fixture expected visual count/page/hash.</x:v>
      </x:c>
      <x:c r="J50" s="15" t="str">
        <x:v>Visuals survive extraction and retry without duplicates.</x:v>
      </x:c>
      <x:c r="K50" s="15" t="str">
        <x:v>Visual fixture tests pass.</x:v>
      </x:c>
      <x:c r="L50" s="15" t="str">
        <x:v>Must</x:v>
      </x:c>
      <x:c r="M50" s="15" t="str">
        <x:v>Not Started</x:v>
      </x:c>
      <x:c r="N50" s="15" t="str"/>
      <x:c r="O50" s="15" t="str"/>
      <x:c r="P50" s="15" t="str"/>
      <x:c r="Q50" s="15" t="str">
        <x:v>18,21</x:v>
      </x:c>
    </x:row>
    <x:row r="51">
      <x:c r="A51" s="15" t="str">
        <x:v>P3-11</x:v>
      </x:c>
      <x:c r="B51" s="15" t="n">
        <x:v>3</x:v>
      </x:c>
      <x:c r="C51" s="15" t="str">
        <x:v>Visuals</x:v>
      </x:c>
      <x:c r="D51" s="15" t="str">
        <x:v>Associate captions and nearby text</x:v>
      </x:c>
      <x:c r="E51" s="15" t="str">
        <x:v>Preserve visual context for later RAG.</x:v>
      </x:c>
      <x:c r="F51" s="15" t="str">
        <x:v>Detect caption proximity/figure labels and create associations to blocks/nodes.</x:v>
      </x:c>
      <x:c r="G51" s="15" t="str">
        <x:v>Uncertain association remains limited rather than fabricated.</x:v>
      </x:c>
      <x:c r="H51" s="15" t="str">
        <x:v>Visual extraction + TextBlocks</x:v>
      </x:c>
      <x:c r="I51" s="15" t="str">
        <x:v>Figure/caption golden fixtures.</x:v>
      </x:c>
      <x:c r="J51" s="15" t="str">
        <x:v>Correct caption/nearby text attached.</x:v>
      </x:c>
      <x:c r="K51" s="15" t="str">
        <x:v>Association tests pass.</x:v>
      </x:c>
      <x:c r="L51" s="15" t="str">
        <x:v>Must</x:v>
      </x:c>
      <x:c r="M51" s="15" t="str">
        <x:v>Not Started</x:v>
      </x:c>
      <x:c r="N51" s="15" t="str"/>
      <x:c r="O51" s="15" t="str"/>
      <x:c r="P51" s="15" t="str"/>
      <x:c r="Q51" s="15" t="str">
        <x:v>21</x:v>
      </x:c>
    </x:row>
    <x:row r="52">
      <x:c r="A52" s="15" t="str">
        <x:v>P3-12</x:v>
      </x:c>
      <x:c r="B52" s="15" t="n">
        <x:v>3</x:v>
      </x:c>
      <x:c r="C52" s="15" t="str">
        <x:v>Tables</x:v>
      </x:c>
      <x:c r="D52" s="15" t="str">
        <x:v>Implement safe table text handling</x:v>
      </x:c>
      <x:c r="E52" s="15" t="str">
        <x:v>Keep common medical tables semantically useful.</x:v>
      </x:c>
      <x:c r="F52" s="15" t="str">
        <x:v>Detect basic table-like layouts; preserve row/column text when reliable; fallback to visual/limited text otherwise.</x:v>
      </x:c>
      <x:c r="G52" s="15" t="str">
        <x:v>Never invent cell relations when uncertain.</x:v>
      </x:c>
      <x:c r="H52" s="15" t="str">
        <x:v>Extraction</x:v>
      </x:c>
      <x:c r="I52" s="15" t="str">
        <x:v>Simple/complex/failure table fixtures.</x:v>
      </x:c>
      <x:c r="J52" s="15" t="str">
        <x:v>Reliable tables searchable; uncertain tables marked limited.</x:v>
      </x:c>
      <x:c r="K52" s="15" t="str">
        <x:v>Tests pass.</x:v>
      </x:c>
      <x:c r="L52" s="15" t="str">
        <x:v>Should</x:v>
      </x:c>
      <x:c r="M52" s="15" t="str">
        <x:v>Not Started</x:v>
      </x:c>
      <x:c r="N52" s="15" t="str"/>
      <x:c r="O52" s="15" t="str"/>
      <x:c r="P52" s="15" t="str"/>
      <x:c r="Q52" s="15" t="str">
        <x:v>21</x:v>
      </x:c>
    </x:row>
    <x:row r="53">
      <x:c r="A53" s="15" t="str">
        <x:v>P3-13</x:v>
      </x:c>
      <x:c r="B53" s="15" t="n">
        <x:v>3</x:v>
      </x:c>
      <x:c r="C53" s="15" t="str">
        <x:v>Normalization</x:v>
      </x:c>
      <x:c r="D53" s="15" t="str">
        <x:v>Normalize extraction safely</x:v>
      </x:c>
      <x:c r="E53" s="15" t="str">
        <x:v>Remove noise without damaging medical notation.</x:v>
      </x:c>
      <x:c r="F53" s="15" t="str">
        <x:v>Handle repeated headers/footers, line wraps/hyphenation conservatively; preserve Na+, Ca2+, β1, C5-T1 etc.</x:v>
      </x:c>
      <x:c r="G53" s="15" t="str">
        <x:v>Normalization keeps original provenance.</x:v>
      </x:c>
      <x:c r="H53" s="15" t="str">
        <x:v>TextBlocks</x:v>
      </x:c>
      <x:c r="I53" s="15" t="str">
        <x:v>Golden medical-symbol tests.</x:v>
      </x:c>
      <x:c r="J53" s="15" t="str">
        <x:v>Searchable text improves without term corruption.</x:v>
      </x:c>
      <x:c r="K53" s="15" t="str">
        <x:v>Normalization regression suite passes.</x:v>
      </x:c>
      <x:c r="L53" s="15" t="str">
        <x:v>Must</x:v>
      </x:c>
      <x:c r="M53" s="15" t="str">
        <x:v>Not Started</x:v>
      </x:c>
      <x:c r="N53" s="15" t="str"/>
      <x:c r="O53" s="15" t="str"/>
      <x:c r="P53" s="15" t="str"/>
      <x:c r="Q53" s="15" t="str">
        <x:v>21</x:v>
      </x:c>
    </x:row>
    <x:row r="54">
      <x:c r="A54" s="15" t="str">
        <x:v>P3-14</x:v>
      </x:c>
      <x:c r="B54" s="15" t="n">
        <x:v>3</x:v>
      </x:c>
      <x:c r="C54" s="15" t="str">
        <x:v>Chunking</x:v>
      </x:c>
      <x:c r="D54" s="15" t="str">
        <x:v>Implement hierarchy-aware chunker</x:v>
      </x:c>
      <x:c r="E54" s="15" t="str">
        <x:v>Create retrieval units from coherent source sections.</x:v>
      </x:c>
      <x:c r="F54" s="15" t="str">
        <x:v>Chunk ordered blocks by semantic/document boundaries, token budget and conservative overlap; store heading path/page range/version.</x:v>
      </x:c>
      <x:c r="G54" s="15" t="str">
        <x:v>Chunks are not topics.</x:v>
      </x:c>
      <x:c r="H54" s="15" t="str">
        <x:v>Normalized blocks</x:v>
      </x:c>
      <x:c r="I54" s="15" t="str">
        <x:v>Golden chunk fixtures; max-token and boundary tests.</x:v>
      </x:c>
      <x:c r="J54" s="15" t="str">
        <x:v>Chunks are coherent, traceable and bounded.</x:v>
      </x:c>
      <x:c r="K54" s="15" t="str">
        <x:v>Chunking tests pass.</x:v>
      </x:c>
      <x:c r="L54" s="15" t="str">
        <x:v>Must</x:v>
      </x:c>
      <x:c r="M54" s="15" t="str">
        <x:v>Not Started</x:v>
      </x:c>
      <x:c r="N54" s="15" t="str"/>
      <x:c r="O54" s="15" t="str"/>
      <x:c r="P54" s="15" t="str"/>
      <x:c r="Q54" s="15" t="str">
        <x:v>13,18,21</x:v>
      </x:c>
    </x:row>
    <x:row r="55">
      <x:c r="A55" s="15" t="str">
        <x:v>P3-15</x:v>
      </x:c>
      <x:c r="B55" s="15" t="n">
        <x:v>3</x:v>
      </x:c>
      <x:c r="C55" s="15" t="str">
        <x:v>Processing</x:v>
      </x:c>
      <x:c r="D55" s="15" t="str">
        <x:v>Implement progress/heartbeat/retry</x:v>
      </x:c>
      <x:c r="E55" s="15" t="str">
        <x:v>Make long processing recoverable.</x:v>
      </x:c>
      <x:c r="F55" s="15" t="str">
        <x:v>Update page/chunk progress and last heartbeat; classify transient/fatal/partial failures; bounded retries/backoff.</x:v>
      </x:c>
      <x:c r="G55" s="15" t="str">
        <x:v>Restart resumes from durable intermediate state.</x:v>
      </x:c>
      <x:c r="H55" s="15" t="str">
        <x:v>All handlers</x:v>
      </x:c>
      <x:c r="I55" s="15" t="str">
        <x:v>Simulated timeout/provider/storage failures; restart test.</x:v>
      </x:c>
      <x:c r="J55" s="15" t="str">
        <x:v>Jobs recover without duplicating output.</x:v>
      </x:c>
      <x:c r="K55" s="15" t="str">
        <x:v>Recovery suite passes.</x:v>
      </x:c>
      <x:c r="L55" s="15" t="str">
        <x:v>Must</x:v>
      </x:c>
      <x:c r="M55" s="15" t="str">
        <x:v>Not Started</x:v>
      </x:c>
      <x:c r="N55" s="15" t="str"/>
      <x:c r="O55" s="15" t="str"/>
      <x:c r="P55" s="15" t="str"/>
      <x:c r="Q55" s="15" t="str">
        <x:v>21,24,25</x:v>
      </x:c>
    </x:row>
    <x:row r="56">
      <x:c r="A56" s="15" t="str">
        <x:v>P3-16</x:v>
      </x:c>
      <x:c r="B56" s="15" t="n">
        <x:v>3</x:v>
      </x:c>
      <x:c r="C56" s="15" t="str">
        <x:v>Processing</x:v>
      </x:c>
      <x:c r="D56" s="15" t="str">
        <x:v>Implement material READY/PARTIALLY_READY/FAILED derivation</x:v>
      </x:c>
      <x:c r="E56" s="15" t="str">
        <x:v>Expose meaningful capability state.</x:v>
      </x:c>
      <x:c r="F56" s="15" t="str">
        <x:v>Derive overall material/version state from required stage results and limitations.</x:v>
      </x:c>
      <x:c r="G56" s="15" t="str">
        <x:v>READY only after required source structure/chunks/index prerequisites; partial preserves limitations.</x:v>
      </x:c>
      <x:c r="H56" s="15" t="str">
        <x:v>Pipeline state</x:v>
      </x:c>
      <x:c r="I56" s="15" t="str">
        <x:v>State matrix tests.</x:v>
      </x:c>
      <x:c r="J56" s="15" t="str">
        <x:v>Frontend status accurately represents usable capability.</x:v>
      </x:c>
      <x:c r="K56" s="15" t="str">
        <x:v>All matrix cases pass.</x:v>
      </x:c>
      <x:c r="L56" s="15" t="str">
        <x:v>Must</x:v>
      </x:c>
      <x:c r="M56" s="15" t="str">
        <x:v>Not Started</x:v>
      </x:c>
      <x:c r="N56" s="15" t="str"/>
      <x:c r="O56" s="15" t="str"/>
      <x:c r="P56" s="15" t="str"/>
      <x:c r="Q56" s="15" t="str">
        <x:v>21</x:v>
      </x:c>
    </x:row>
    <x:row r="57">
      <x:c r="A57" s="15" t="str">
        <x:v>P3-17</x:v>
      </x:c>
      <x:c r="B57" s="15" t="n">
        <x:v>3</x:v>
      </x:c>
      <x:c r="C57" s="15" t="str">
        <x:v>Frontend</x:v>
      </x:c>
      <x:c r="D57" s="15" t="str">
        <x:v>Build processing status and structure tree UI</x:v>
      </x:c>
      <x:c r="E57" s="15" t="str">
        <x:v>Make ingestion transparent to students.</x:v>
      </x:c>
      <x:c r="F57" s="15" t="str">
        <x:v>Show user-friendly stage text, progress, partial failures, collapsible detected hierarchy; poll with backoff.</x:v>
      </x:c>
      <x:c r="G57" s="15" t="str">
        <x:v>Never show raw pgvector/worker jargon.</x:v>
      </x:c>
      <x:c r="H57" s="15" t="str">
        <x:v>Processing APIs</x:v>
      </x:c>
      <x:c r="I57" s="15" t="str">
        <x:v>RTL + E2E processing states incl partial/failure.</x:v>
      </x:c>
      <x:c r="J57" s="15" t="str">
        <x:v>Student understands when material is usable and limitations.</x:v>
      </x:c>
      <x:c r="K57" s="15" t="str">
        <x:v>UX tests pass.</x:v>
      </x:c>
      <x:c r="L57" s="15" t="str">
        <x:v>Must</x:v>
      </x:c>
      <x:c r="M57" s="15" t="str">
        <x:v>Not Started</x:v>
      </x:c>
      <x:c r="N57" s="15" t="str"/>
      <x:c r="O57" s="15" t="str"/>
      <x:c r="P57" s="15" t="str"/>
      <x:c r="Q57" s="15" t="str">
        <x:v>20,21</x:v>
      </x:c>
    </x:row>
    <x:row r="58">
      <x:c r="A58" s="15" t="str">
        <x:v>P3-18</x:v>
      </x:c>
      <x:c r="B58" s="15" t="n">
        <x:v>3</x:v>
      </x:c>
      <x:c r="C58" s="15" t="str">
        <x:v>Gate</x:v>
      </x:c>
      <x:c r="D58" s="15" t="str">
        <x:v>Phase 3 large-material gate</x:v>
      </x:c>
      <x:c r="E58" s="15" t="str">
        <x:v>Prove 600+ page ingestion architecture works.</x:v>
      </x:c>
      <x:c r="F58" s="15" t="str">
        <x:v>Run end-to-end large mixed PDF through extract/structure/visual/chunk/restart path.</x:v>
      </x:c>
      <x:c r="G58" s="15" t="str">
        <x:v>Resource use bounded; no duplicate outputs.</x:v>
      </x:c>
      <x:c r="H58" s="15" t="str">
        <x:v>All P3</x:v>
      </x:c>
      <x:c r="I58" s="15" t="str">
        <x:v>Large fixture, restart, memory/progress validation.</x:v>
      </x:c>
      <x:c r="J58" s="15" t="str">
        <x:v>Large textbook reaches pre-index structured state reliably.</x:v>
      </x:c>
      <x:c r="K58" s="15" t="str">
        <x:v>Gate evidence recorded.</x:v>
      </x:c>
      <x:c r="L58" s="15" t="str">
        <x:v>Must</x:v>
      </x:c>
      <x:c r="M58" s="15" t="str">
        <x:v>Not Started</x:v>
      </x:c>
      <x:c r="N58" s="15" t="str"/>
      <x:c r="O58" s="15" t="str"/>
      <x:c r="P58" s="15" t="str"/>
      <x:c r="Q58" s="15" t="str">
        <x:v>21,25,26</x:v>
      </x:c>
    </x:row>
    <x:row r="59">
      <x:c r="A59" s="15" t="str">
        <x:v>P4-01</x:v>
      </x:c>
      <x:c r="B59" s="15" t="n">
        <x:v>4</x:v>
      </x:c>
      <x:c r="C59" s="15" t="str">
        <x:v>Database</x:v>
      </x:c>
      <x:c r="D59" s="15" t="str">
        <x:v>Create IndexGeneration/ChunkEmbedding schema</x:v>
      </x:c>
      <x:c r="E59" s="15" t="str">
        <x:v>Version embedding indexes explicitly.</x:v>
      </x:c>
      <x:c r="F59" s="15" t="str">
        <x:v>Create index_generations and chunk_embeddings with provider/model/dimension/chunking version/status and uniqueness.</x:v>
      </x:c>
      <x:c r="G59" s="15" t="str">
        <x:v>Generations never mix silently.</x:v>
      </x:c>
      <x:c r="H59" s="15" t="str">
        <x:v>P3 chunks</x:v>
      </x:c>
      <x:c r="I59" s="15" t="str">
        <x:v>Migration/uniqueness/dimension metadata tests.</x:v>
      </x:c>
      <x:c r="J59" s="15" t="str">
        <x:v>Embeddings are generation-scoped and rebuildable.</x:v>
      </x:c>
      <x:c r="K59" s="15" t="str">
        <x:v>Tests pass.</x:v>
      </x:c>
      <x:c r="L59" s="15" t="str">
        <x:v>Must</x:v>
      </x:c>
      <x:c r="M59" s="15" t="str">
        <x:v>Not Started</x:v>
      </x:c>
      <x:c r="N59" s="15" t="str"/>
      <x:c r="O59" s="15" t="str"/>
      <x:c r="P59" s="15" t="str"/>
      <x:c r="Q59" s="15" t="str">
        <x:v>18</x:v>
      </x:c>
    </x:row>
    <x:row r="60">
      <x:c r="A60" s="15" t="str">
        <x:v>P4-02</x:v>
      </x:c>
      <x:c r="B60" s="15" t="n">
        <x:v>4</x:v>
      </x:c>
      <x:c r="C60" s="15" t="str">
        <x:v>RAG</x:v>
      </x:c>
      <x:c r="D60" s="15" t="str">
        <x:v>Implement embedding port</x:v>
      </x:c>
      <x:c r="E60" s="15" t="str">
        <x:v>Decouple retrieval indexing from provider.</x:v>
      </x:c>
      <x:c r="F60" s="15" t="str">
        <x:v>Define EmbeddingPort and batch request/result contracts.</x:v>
      </x:c>
      <x:c r="G60" s="15" t="str">
        <x:v>Provider/model implementation selected by configuration/evaluation.</x:v>
      </x:c>
      <x:c r="H60" s="15" t="str">
        <x:v>Index schema</x:v>
      </x:c>
      <x:c r="I60" s="15" t="str">
        <x:v>Fake adapter tests.</x:v>
      </x:c>
      <x:c r="J60" s="15" t="str">
        <x:v>Chunk indexing is provider-independent.</x:v>
      </x:c>
      <x:c r="K60" s="15" t="str">
        <x:v>Port tests pass.</x:v>
      </x:c>
      <x:c r="L60" s="15" t="str">
        <x:v>Must</x:v>
      </x:c>
      <x:c r="M60" s="15" t="str">
        <x:v>Not Started</x:v>
      </x:c>
      <x:c r="N60" s="15" t="str"/>
      <x:c r="O60" s="15" t="str"/>
      <x:c r="P60" s="15" t="str"/>
      <x:c r="Q60" s="15" t="str">
        <x:v>13,17</x:v>
      </x:c>
    </x:row>
    <x:row r="61">
      <x:c r="A61" s="15" t="str">
        <x:v>P4-03</x:v>
      </x:c>
      <x:c r="B61" s="15" t="n">
        <x:v>4</x:v>
      </x:c>
      <x:c r="C61" s="15" t="str">
        <x:v>RAG</x:v>
      </x:c>
      <x:c r="D61" s="15" t="str">
        <x:v>Implement initial embedding adapter</x:v>
      </x:c>
      <x:c r="E61" s="15" t="str">
        <x:v>Produce v1 embeddings using approved candidate/provider.</x:v>
      </x:c>
      <x:c r="F61" s="15" t="str">
        <x:v>Implement selected Gemini embedding adapter initially; capture model/dimension/usage.</x:v>
      </x:c>
      <x:c r="G61" s="15" t="str">
        <x:v>No provider types escape adapter.</x:v>
      </x:c>
      <x:c r="H61" s="15" t="str">
        <x:v>P5 AI/provider secrets may be reused; can implement direct adapter here</x:v>
      </x:c>
      <x:c r="I61" s="15" t="str">
        <x:v>Contract/live smoke test with tiny quota.</x:v>
      </x:c>
      <x:c r="J61" s="15" t="str">
        <x:v>Embeddings persist correctly.</x:v>
      </x:c>
      <x:c r="K61" s="15" t="str">
        <x:v>Adapter and dimension tests pass.</x:v>
      </x:c>
      <x:c r="L61" s="15" t="str">
        <x:v>Must</x:v>
      </x:c>
      <x:c r="M61" s="15" t="str">
        <x:v>Not Started</x:v>
      </x:c>
      <x:c r="N61" s="15" t="str"/>
      <x:c r="O61" s="15" t="str"/>
      <x:c r="P61" s="15" t="str"/>
      <x:c r="Q61" s="15" t="str">
        <x:v>17</x:v>
      </x:c>
    </x:row>
    <x:row r="62">
      <x:c r="A62" s="15" t="str">
        <x:v>P4-04</x:v>
      </x:c>
      <x:c r="B62" s="15" t="n">
        <x:v>4</x:v>
      </x:c>
      <x:c r="C62" s="15" t="str">
        <x:v>RAG</x:v>
      </x:c>
      <x:c r="D62" s="15" t="str">
        <x:v>Implement batched embedding jobs</x:v>
      </x:c>
      <x:c r="E62" s="15" t="str">
        <x:v>Index chunks efficiently and idempotently.</x:v>
      </x:c>
      <x:c r="F62" s="15" t="str">
        <x:v>Create EMBED processing stage batching active chunks and upserting unique chunk+generation.</x:v>
      </x:c>
      <x:c r="G62" s="15" t="str">
        <x:v>Transient failures retry without duplicate vectors.</x:v>
      </x:c>
      <x:c r="H62" s="15" t="str">
        <x:v>Embedding port + jobs</x:v>
      </x:c>
      <x:c r="I62" s="15" t="str">
        <x:v>Partial batch failure/retry tests.</x:v>
      </x:c>
      <x:c r="J62" s="15" t="str">
        <x:v>All eligible chunks get one embedding per generation.</x:v>
      </x:c>
      <x:c r="K62" s="15" t="str">
        <x:v>Idempotency tests pass.</x:v>
      </x:c>
      <x:c r="L62" s="15" t="str">
        <x:v>Must</x:v>
      </x:c>
      <x:c r="M62" s="15" t="str">
        <x:v>Not Started</x:v>
      </x:c>
      <x:c r="N62" s="15" t="str"/>
      <x:c r="O62" s="15" t="str"/>
      <x:c r="P62" s="15" t="str"/>
      <x:c r="Q62" s="15" t="str">
        <x:v>21</x:v>
      </x:c>
    </x:row>
    <x:row r="63">
      <x:c r="A63" s="15" t="str">
        <x:v>P4-05</x:v>
      </x:c>
      <x:c r="B63" s="15" t="n">
        <x:v>4</x:v>
      </x:c>
      <x:c r="C63" s="15" t="str">
        <x:v>RAG</x:v>
      </x:c>
      <x:c r="D63" s="15" t="str">
        <x:v>Implement lexical search repository</x:v>
      </x:c>
      <x:c r="E63" s="15" t="str">
        <x:v>Support exact medical terms.</x:v>
      </x:c>
      <x:c r="F63" s="15" t="str">
        <x:v>Build PostgreSQL FTS + pg_trgm search over active authorized chunks.</x:v>
      </x:c>
      <x:c r="G63" s="15" t="str">
        <x:v>Metadata ownership/version filters applied in SQL.</x:v>
      </x:c>
      <x:c r="H63" s="15" t="str">
        <x:v>Chunks</x:v>
      </x:c>
      <x:c r="I63" s="15" t="str">
        <x:v>Queries for C5-T1, β1, CN VII etc.</x:v>
      </x:c>
      <x:c r="J63" s="15" t="str">
        <x:v>Exact terms retrieve expected evidence.</x:v>
      </x:c>
      <x:c r="K63" s="15" t="str">
        <x:v>Golden lexical tests pass.</x:v>
      </x:c>
      <x:c r="L63" s="15" t="str">
        <x:v>Must</x:v>
      </x:c>
      <x:c r="M63" s="15" t="str">
        <x:v>Not Started</x:v>
      </x:c>
      <x:c r="N63" s="15" t="str"/>
      <x:c r="O63" s="15" t="str"/>
      <x:c r="P63" s="15" t="str"/>
      <x:c r="Q63" s="15" t="str">
        <x:v>13,17</x:v>
      </x:c>
    </x:row>
    <x:row r="64">
      <x:c r="A64" s="15" t="str">
        <x:v>P4-06</x:v>
      </x:c>
      <x:c r="B64" s="15" t="n">
        <x:v>4</x:v>
      </x:c>
      <x:c r="C64" s="15" t="str">
        <x:v>RAG</x:v>
      </x:c>
      <x:c r="D64" s="15" t="str">
        <x:v>Implement vector search repository</x:v>
      </x:c>
      <x:c r="E64" s="15" t="str">
        <x:v>Support semantic retrieval.</x:v>
      </x:c>
      <x:c r="F64" s="15" t="str">
        <x:v>Implement pgvector similarity query constrained by allowed user/material/version scope.</x:v>
      </x:c>
      <x:c r="G64" s="15" t="str">
        <x:v>Authorization filters occur before ranking.</x:v>
      </x:c>
      <x:c r="H64" s="15" t="str">
        <x:v>Embeddings</x:v>
      </x:c>
      <x:c r="I64" s="15" t="str">
        <x:v>User A/B similarity isolation test.</x:v>
      </x:c>
      <x:c r="J64" s="15" t="str">
        <x:v>Semantically relevant chunks returned only from allowed scope.</x:v>
      </x:c>
      <x:c r="K64" s="15" t="str">
        <x:v>Zero-leakage test passes.</x:v>
      </x:c>
      <x:c r="L64" s="15" t="str">
        <x:v>Must</x:v>
      </x:c>
      <x:c r="M64" s="15" t="str">
        <x:v>Not Started</x:v>
      </x:c>
      <x:c r="N64" s="15" t="str"/>
      <x:c r="O64" s="15" t="str"/>
      <x:c r="P64" s="15" t="str"/>
      <x:c r="Q64" s="15" t="str">
        <x:v>13,22</x:v>
      </x:c>
    </x:row>
    <x:row r="65">
      <x:c r="A65" s="15" t="str">
        <x:v>P4-07</x:v>
      </x:c>
      <x:c r="B65" s="15" t="n">
        <x:v>4</x:v>
      </x:c>
      <x:c r="C65" s="15" t="str">
        <x:v>RAG</x:v>
      </x:c>
      <x:c r="D65" s="15" t="str">
        <x:v>Implement hybrid candidate merge</x:v>
      </x:c>
      <x:c r="E65" s="15" t="str">
        <x:v>Combine lexical and semantic strengths.</x:v>
      </x:c>
      <x:c r="F65" s="15" t="str">
        <x:v>Merge/dedupe candidates using configurable scoring/rank fusion strategy.</x:v>
      </x:c>
      <x:c r="G65" s="15" t="str">
        <x:v>No LLM needed for base retrieval.</x:v>
      </x:c>
      <x:c r="H65" s="15" t="str">
        <x:v>Lexical + vector repos</x:v>
      </x:c>
      <x:c r="I65" s="15" t="str">
        <x:v>Golden cases: exact, semantic, mixed.</x:v>
      </x:c>
      <x:c r="J65" s="15" t="str">
        <x:v>Hybrid improves or matches expected retrieval.</x:v>
      </x:c>
      <x:c r="K65" s="15" t="str">
        <x:v>Offline metrics recorded.</x:v>
      </x:c>
      <x:c r="L65" s="15" t="str">
        <x:v>Must</x:v>
      </x:c>
      <x:c r="M65" s="15" t="str">
        <x:v>Not Started</x:v>
      </x:c>
      <x:c r="N65" s="15" t="str"/>
      <x:c r="O65" s="15" t="str"/>
      <x:c r="P65" s="15" t="str"/>
      <x:c r="Q65" s="15" t="str">
        <x:v>13</x:v>
      </x:c>
    </x:row>
    <x:row r="66">
      <x:c r="A66" s="15" t="str">
        <x:v>P4-08</x:v>
      </x:c>
      <x:c r="B66" s="15" t="n">
        <x:v>4</x:v>
      </x:c>
      <x:c r="C66" s="15" t="str">
        <x:v>RAG</x:v>
      </x:c>
      <x:c r="D66" s="15" t="str">
        <x:v>Implement retrieval scope builder</x:v>
      </x:c>
      <x:c r="E66" s="15" t="str">
        <x:v>Derive authorized search scope from task/topic/material links.</x:v>
      </x:c>
      <x:c r="F66" s="15" t="str">
        <x:v>Build RetrievalScope from authenticated user, topic, active material versions/nodes and grounding mode.</x:v>
      </x:c>
      <x:c r="G66" s="15" t="str">
        <x:v>Client cannot widen scope.</x:v>
      </x:c>
      <x:c r="H66" s="15" t="str">
        <x:v>MaterialTopicLink + auth</x:v>
      </x:c>
      <x:c r="I66" s="15" t="str">
        <x:v>Cross-user and inactive-version tests.</x:v>
      </x:c>
      <x:c r="J66" s="15" t="str">
        <x:v>Every retrieval is scoped centrally.</x:v>
      </x:c>
      <x:c r="K66" s="15" t="str">
        <x:v>Scope tests pass.</x:v>
      </x:c>
      <x:c r="L66" s="15" t="str">
        <x:v>Must</x:v>
      </x:c>
      <x:c r="M66" s="15" t="str">
        <x:v>Not Started</x:v>
      </x:c>
      <x:c r="N66" s="15" t="str"/>
      <x:c r="O66" s="15" t="str"/>
      <x:c r="P66" s="15" t="str"/>
      <x:c r="Q66" s="15" t="str">
        <x:v>13,22</x:v>
      </x:c>
    </x:row>
    <x:row r="67">
      <x:c r="A67" s="15" t="str">
        <x:v>P4-09</x:v>
      </x:c>
      <x:c r="B67" s="15" t="n">
        <x:v>4</x:v>
      </x:c>
      <x:c r="C67" s="15" t="str">
        <x:v>RAG</x:v>
      </x:c>
      <x:c r="D67" s="15" t="str">
        <x:v>Implement EvidencePackage builder</x:v>
      </x:c>
      <x:c r="E67" s="15" t="str">
        <x:v>Return bounded, source-traceable context.</x:v>
      </x:c>
      <x:c r="F67" s="15" t="str">
        <x:v>Create chunks, visuals, SourceReferences, quality/limitations and diagnostics payload.</x:v>
      </x:c>
      <x:c r="G67" s="15" t="str">
        <x:v>Prompt layer receives normalized evidence, not SQL rows.</x:v>
      </x:c>
      <x:c r="H67" s="15" t="str">
        <x:v>Hybrid retrieval</x:v>
      </x:c>
      <x:c r="I67" s="15" t="str">
        <x:v>Unit/integration package tests.</x:v>
      </x:c>
      <x:c r="J67" s="15" t="str">
        <x:v>EvidencePackage has valid sources and quality.</x:v>
      </x:c>
      <x:c r="K67" s="15" t="str">
        <x:v>Source resolution tests pass.</x:v>
      </x:c>
      <x:c r="L67" s="15" t="str">
        <x:v>Must</x:v>
      </x:c>
      <x:c r="M67" s="15" t="str">
        <x:v>Not Started</x:v>
      </x:c>
      <x:c r="N67" s="15" t="str"/>
      <x:c r="O67" s="15" t="str"/>
      <x:c r="P67" s="15" t="str"/>
      <x:c r="Q67" s="15" t="str">
        <x:v>13,19</x:v>
      </x:c>
    </x:row>
    <x:row r="68">
      <x:c r="A68" s="15" t="str">
        <x:v>P4-10</x:v>
      </x:c>
      <x:c r="B68" s="15" t="n">
        <x:v>4</x:v>
      </x:c>
      <x:c r="C68" s="15" t="str">
        <x:v>RAG</x:v>
      </x:c>
      <x:c r="D68" s="15" t="str">
        <x:v>Implement source reference resolver</x:v>
      </x:c>
      <x:c r="E68" s="15" t="str">
        <x:v>Make citations stable and authorized.</x:v>
      </x:c>
      <x:c r="F68" s="15" t="str">
        <x:v>Create SourceReference records/resolution to page/node/chunk/visual and learner-facing labels.</x:v>
      </x:c>
      <x:c r="G68" s="15" t="str">
        <x:v>Reference ID alone never bypasses authorization.</x:v>
      </x:c>
      <x:c r="H68" s="15" t="str">
        <x:v>Evidence package</x:v>
      </x:c>
      <x:c r="I68" s="15" t="str">
        <x:v>Forgery/cross-user/inactive tests.</x:v>
      </x:c>
      <x:c r="J68" s="15" t="str">
        <x:v>Valid references open correct source.</x:v>
      </x:c>
      <x:c r="K68" s="15" t="str">
        <x:v>Security tests pass.</x:v>
      </x:c>
      <x:c r="L68" s="15" t="str">
        <x:v>Must</x:v>
      </x:c>
      <x:c r="M68" s="15" t="str">
        <x:v>Not Started</x:v>
      </x:c>
      <x:c r="N68" s="15" t="str"/>
      <x:c r="O68" s="15" t="str"/>
      <x:c r="P68" s="15" t="str"/>
      <x:c r="Q68" s="15" t="str">
        <x:v>18,22</x:v>
      </x:c>
    </x:row>
    <x:row r="69">
      <x:c r="A69" s="15" t="str">
        <x:v>P4-11</x:v>
      </x:c>
      <x:c r="B69" s="15" t="n">
        <x:v>4</x:v>
      </x:c>
      <x:c r="C69" s="15" t="str">
        <x:v>RAG</x:v>
      </x:c>
      <x:c r="D69" s="15" t="str">
        <x:v>Create developer retrieval inspector</x:v>
      </x:c>
      <x:c r="E69" s="15" t="str">
        <x:v>Let team inspect RAG before AI.</x:v>
      </x:c>
      <x:c r="F69" s="15" t="str">
        <x:v>Protected local/admin diagnostic endpoint/tool shows query, candidate IDs/scores/headings/quality without exposing private text broadly.</x:v>
      </x:c>
      <x:c r="G69" s="15" t="str">
        <x:v>Used only for development/authorized diagnostics.</x:v>
      </x:c>
      <x:c r="H69" s="15" t="str">
        <x:v>RAG services</x:v>
      </x:c>
      <x:c r="I69" s="15" t="str">
        <x:v>Manual/golden retrieval review.</x:v>
      </x:c>
      <x:c r="J69" s="15" t="str">
        <x:v>RAG can be debugged independently of LLM.</x:v>
      </x:c>
      <x:c r="K69" s="15" t="str">
        <x:v>Inspector available locally and access-controlled.</x:v>
      </x:c>
      <x:c r="L69" s="15" t="str">
        <x:v>Should</x:v>
      </x:c>
      <x:c r="M69" s="15" t="str">
        <x:v>Not Started</x:v>
      </x:c>
      <x:c r="N69" s="15" t="str"/>
      <x:c r="O69" s="15" t="str"/>
      <x:c r="P69" s="15" t="str"/>
      <x:c r="Q69" s="15" t="str">
        <x:v>24,26</x:v>
      </x:c>
    </x:row>
    <x:row r="70">
      <x:c r="A70" s="15" t="str">
        <x:v>P4-12</x:v>
      </x:c>
      <x:c r="B70" s="15" t="n">
        <x:v>4</x:v>
      </x:c>
      <x:c r="C70" s="15" t="str">
        <x:v>Testing</x:v>
      </x:c>
      <x:c r="D70" s="15" t="str">
        <x:v>Create Golden Retrieval Dataset v1</x:v>
      </x:c>
      <x:c r="E70" s="15" t="str">
        <x:v>Establish measurable retrieval quality baseline.</x:v>
      </x:c>
      <x:c r="F70" s="15" t="str">
        <x:v>Create versioned queries with expected/acceptable sections/chunks and irrelevant negatives.</x:v>
      </x:c>
      <x:c r="G70" s="15" t="str">
        <x:v>Use authorized synthetic/public fixtures.</x:v>
      </x:c>
      <x:c r="H70" s="15" t="str">
        <x:v>RAG complete</x:v>
      </x:c>
      <x:c r="I70" s="15" t="str">
        <x:v>Calculate Recall@K/Precision@K/MRR as appropriate.</x:v>
      </x:c>
      <x:c r="J70" s="15" t="str">
        <x:v>Baseline quality known before AI phase.</x:v>
      </x:c>
      <x:c r="K70" s="15" t="str">
        <x:v>Dataset committed; thresholds recorded.</x:v>
      </x:c>
      <x:c r="L70" s="15" t="str">
        <x:v>Must</x:v>
      </x:c>
      <x:c r="M70" s="15" t="str">
        <x:v>Not Started</x:v>
      </x:c>
      <x:c r="N70" s="15" t="str"/>
      <x:c r="O70" s="15" t="str"/>
      <x:c r="P70" s="15" t="str"/>
      <x:c r="Q70" s="15" t="str">
        <x:v>15,25</x:v>
      </x:c>
    </x:row>
    <x:row r="71">
      <x:c r="A71" s="15" t="str">
        <x:v>P4-13</x:v>
      </x:c>
      <x:c r="B71" s="15" t="n">
        <x:v>4</x:v>
      </x:c>
      <x:c r="C71" s="15" t="str">
        <x:v>Security</x:v>
      </x:c>
      <x:c r="D71" s="15" t="str">
        <x:v>Run RAG isolation release suite</x:v>
      </x:c>
      <x:c r="E71" s="15" t="str">
        <x:v>Prove zero cross-user leakage.</x:v>
      </x:c>
      <x:c r="F71" s="15" t="str">
        <x:v>Execute semantic-identical User A/B corpora, inactive/deleted material and forged scope tests.</x:v>
      </x:c>
      <x:c r="G71" s="15" t="str">
        <x:v>Scope filtering must happen before ranking.</x:v>
      </x:c>
      <x:c r="H71" s="15" t="str">
        <x:v>RAG complete</x:v>
      </x:c>
      <x:c r="I71" s="15" t="str">
        <x:v>Automated security suite.</x:v>
      </x:c>
      <x:c r="J71" s="15" t="str">
        <x:v>0 unauthorized chunks ever returned.</x:v>
      </x:c>
      <x:c r="K71" s="15" t="str">
        <x:v>Gate passes.</x:v>
      </x:c>
      <x:c r="L71" s="15" t="str">
        <x:v>Must</x:v>
      </x:c>
      <x:c r="M71" s="15" t="str">
        <x:v>Not Started</x:v>
      </x:c>
      <x:c r="N71" s="15" t="str"/>
      <x:c r="O71" s="15" t="str"/>
      <x:c r="P71" s="15" t="str"/>
      <x:c r="Q71" s="15" t="str">
        <x:v>22,25</x:v>
      </x:c>
    </x:row>
    <x:row r="72">
      <x:c r="A72" s="15" t="str">
        <x:v>P4-14</x:v>
      </x:c>
      <x:c r="B72" s="15" t="n">
        <x:v>4</x:v>
      </x:c>
      <x:c r="C72" s="15" t="str">
        <x:v>Gate</x:v>
      </x:c>
      <x:c r="D72" s="15" t="str">
        <x:v>Phase 4 retrieval gate</x:v>
      </x:c>
      <x:c r="E72" s="15" t="str">
        <x:v>Prove source-grounded knowledge layer works without AI.</x:v>
      </x:c>
      <x:c r="F72" s="15" t="str">
        <x:v>Run representative queries across anatomy/physiology exact/semantic/visual contexts and inspect EvidencePackages.</x:v>
      </x:c>
      <x:c r="G72" s="15" t="str">
        <x:v>No generative model involved.</x:v>
      </x:c>
      <x:c r="H72" s="15" t="str">
        <x:v>All P4</x:v>
      </x:c>
      <x:c r="I72" s="15" t="str">
        <x:v>Golden metrics + source resolution.</x:v>
      </x:c>
      <x:c r="J72" s="15" t="str">
        <x:v>Hippocampus can reliably find correct authorized evidence.</x:v>
      </x:c>
      <x:c r="K72" s="15" t="str">
        <x:v>Gate evidence recorded.</x:v>
      </x:c>
      <x:c r="L72" s="15" t="str">
        <x:v>Must</x:v>
      </x:c>
      <x:c r="M72" s="15" t="str">
        <x:v>Not Started</x:v>
      </x:c>
      <x:c r="N72" s="15" t="str"/>
      <x:c r="O72" s="15" t="str"/>
      <x:c r="P72" s="15" t="str"/>
      <x:c r="Q72" s="15" t="str">
        <x:v>26</x:v>
      </x:c>
    </x:row>
    <x:row r="73">
      <x:c r="A73" s="15" t="str">
        <x:v>P5-01</x:v>
      </x:c>
      <x:c r="B73" s="15" t="n">
        <x:v>5</x:v>
      </x:c>
      <x:c r="C73" s="15" t="str">
        <x:v>AI</x:v>
      </x:c>
      <x:c r="D73" s="15" t="str">
        <x:v>Define canonical AiTask contracts</x:v>
      </x:c>
      <x:c r="E73" s="15" t="str">
        <x:v>Standardize AI tasks before providers.</x:v>
      </x:c>
      <x:c r="F73" s="15" t="str">
        <x:v>Create typed AiTaskRequest/ValidatedAiResult and task enums/contracts for explanation, question, evaluation, connection, application, repair.</x:v>
      </x:c>
      <x:c r="G73" s="15" t="str">
        <x:v>Canonical contract contains grounding/evidence/output schema.</x:v>
      </x:c>
      <x:c r="H73" s="15" t="str">
        <x:v>P4 EvidencePackage</x:v>
      </x:c>
      <x:c r="I73" s="15" t="str">
        <x:v>Serialization/unit tests.</x:v>
      </x:c>
      <x:c r="J73" s="15" t="str">
        <x:v>All AI use cases speak one internal language.</x:v>
      </x:c>
      <x:c r="K73" s="15" t="str">
        <x:v>Contracts stable and tested.</x:v>
      </x:c>
      <x:c r="L73" s="15" t="str">
        <x:v>Must</x:v>
      </x:c>
      <x:c r="M73" s="15" t="str">
        <x:v>Not Started</x:v>
      </x:c>
      <x:c r="N73" s="15" t="str"/>
      <x:c r="O73" s="15" t="str"/>
      <x:c r="P73" s="15" t="str"/>
      <x:c r="Q73" s="15" t="str">
        <x:v>10,12,19</x:v>
      </x:c>
    </x:row>
    <x:row r="74">
      <x:c r="A74" s="15" t="str">
        <x:v>P5-02</x:v>
      </x:c>
      <x:c r="B74" s="15" t="n">
        <x:v>5</x:v>
      </x:c>
      <x:c r="C74" s="15" t="str">
        <x:v>AI</x:v>
      </x:c>
      <x:c r="D74" s="15" t="str">
        <x:v>Implement PromptTemplateRegistry</x:v>
      </x:c>
      <x:c r="E74" s="15" t="str">
        <x:v>Centralize versioned prompts.</x:v>
      </x:c>
      <x:c r="F74" s="15" t="str">
        <x:v>Create registry for system + task templates with prompt ID/version and authority hierarchy.</x:v>
      </x:c>
      <x:c r="G74" s="15" t="str">
        <x:v>Feature code cannot embed arbitrary production prompts.</x:v>
      </x:c>
      <x:c r="H74" s="15" t="str">
        <x:v>AI contracts</x:v>
      </x:c>
      <x:c r="I74" s="15" t="str">
        <x:v>Registry lookup/version tests.</x:v>
      </x:c>
      <x:c r="J74" s="15" t="str">
        <x:v>Prompts are traceable and centrally managed.</x:v>
      </x:c>
      <x:c r="K74" s="15" t="str">
        <x:v>No production prompt strings outside registry.</x:v>
      </x:c>
      <x:c r="L74" s="15" t="str">
        <x:v>Must</x:v>
      </x:c>
      <x:c r="M74" s="15" t="str">
        <x:v>Not Started</x:v>
      </x:c>
      <x:c r="N74" s="15" t="str"/>
      <x:c r="O74" s="15" t="str"/>
      <x:c r="P74" s="15" t="str"/>
      <x:c r="Q74" s="15" t="str">
        <x:v>12</x:v>
      </x:c>
    </x:row>
    <x:row r="75">
      <x:c r="A75" s="15" t="str">
        <x:v>P5-03</x:v>
      </x:c>
      <x:c r="B75" s="15" t="n">
        <x:v>5</x:v>
      </x:c>
      <x:c r="C75" s="15" t="str">
        <x:v>AI</x:v>
      </x:c>
      <x:c r="D75" s="15" t="str">
        <x:v>Implement PromptContextBuilder</x:v>
      </x:c>
      <x:c r="E75" s="15" t="str">
        <x:v>Control tokens and untrusted boundaries.</x:v>
      </x:c>
      <x:c r="F75" s="15" t="str">
        <x:v>Build minimal learner/activity/evidence context with explicit SOURCE_CONTEXT and STUDENT_RESPONSE delimiters and output budget.</x:v>
      </x:c>
      <x:c r="G75" s="15" t="str">
        <x:v>Only task-relevant context is included.</x:v>
      </x:c>
      <x:c r="H75" s="15" t="str">
        <x:v>Prompt registry + RAG</x:v>
      </x:c>
      <x:c r="I75" s="15" t="str">
        <x:v>Snapshot/token-budget/prompt-injection fixture tests.</x:v>
      </x:c>
      <x:c r="J75" s="15" t="str">
        <x:v>Prompts stay bounded and preserve instruction hierarchy.</x:v>
      </x:c>
      <x:c r="K75" s="15" t="str">
        <x:v>Tests pass.</x:v>
      </x:c>
      <x:c r="L75" s="15" t="str">
        <x:v>Must</x:v>
      </x:c>
      <x:c r="M75" s="15" t="str">
        <x:v>Not Started</x:v>
      </x:c>
      <x:c r="N75" s="15" t="str"/>
      <x:c r="O75" s="15" t="str"/>
      <x:c r="P75" s="15" t="str"/>
      <x:c r="Q75" s="15" t="str">
        <x:v>12,22</x:v>
      </x:c>
    </x:row>
    <x:row r="76">
      <x:c r="A76" s="15" t="str">
        <x:v>P5-04</x:v>
      </x:c>
      <x:c r="B76" s="15" t="n">
        <x:v>5</x:v>
      </x:c>
      <x:c r="C76" s="15" t="str">
        <x:v>AI</x:v>
      </x:c>
      <x:c r="D76" s="15" t="str">
        <x:v>Implement ProviderRouter</x:v>
      </x:c>
      <x:c r="E76" s="15" t="str">
        <x:v>Select provider centrally.</x:v>
      </x:c>
      <x:c r="F76" s="15" t="str">
        <x:v>Create routing policy using task support, evaluation status, availability, quota/rate state, cost/latency config.</x:v>
      </x:c>
      <x:c r="G76" s="15" t="str">
        <x:v>Learning/domain code never picks Gemini/Ollama.</x:v>
      </x:c>
      <x:c r="H76" s="15" t="str">
        <x:v>AI contracts</x:v>
      </x:c>
      <x:c r="I76" s="15" t="str">
        <x:v>Unit route matrix tests.</x:v>
      </x:c>
      <x:c r="J76" s="15" t="str">
        <x:v>Correct route/fallback selected deterministically.</x:v>
      </x:c>
      <x:c r="K76" s="15" t="str">
        <x:v>Routing tests pass.</x:v>
      </x:c>
      <x:c r="L76" s="15" t="str">
        <x:v>Must</x:v>
      </x:c>
      <x:c r="M76" s="15" t="str">
        <x:v>Not Started</x:v>
      </x:c>
      <x:c r="N76" s="15" t="str"/>
      <x:c r="O76" s="15" t="str"/>
      <x:c r="P76" s="15" t="str"/>
      <x:c r="Q76" s="15" t="str">
        <x:v>10,19</x:v>
      </x:c>
    </x:row>
    <x:row r="77">
      <x:c r="A77" s="15" t="str">
        <x:v>P5-05</x:v>
      </x:c>
      <x:c r="B77" s="15" t="n">
        <x:v>5</x:v>
      </x:c>
      <x:c r="C77" s="15" t="str">
        <x:v>AI</x:v>
      </x:c>
      <x:c r="D77" s="15" t="str">
        <x:v>Implement GeminiProviderAdapter</x:v>
      </x:c>
      <x:c r="E77" s="15" t="str">
        <x:v>Connect Gemini server-side.</x:v>
      </x:c>
      <x:c r="F77" s="15" t="str">
        <x:v>Use Spring AI Google GenAI integration; map canonical request, multimodal input where approved, structured outputs/errors/usage.</x:v>
      </x:c>
      <x:c r="G77" s="15" t="str">
        <x:v>Gemini SDK types remain internal.</x:v>
      </x:c>
      <x:c r="H77" s="15" t="str">
        <x:v>Provider router + secrets</x:v>
      </x:c>
      <x:c r="I77" s="15" t="str">
        <x:v>Mock/contract + tiny live smoke test.</x:v>
      </x:c>
      <x:c r="J77" s="15" t="str">
        <x:v>Gemini executes supported typed tasks.</x:v>
      </x:c>
      <x:c r="K77" s="15" t="str">
        <x:v>Contract tests pass.</x:v>
      </x:c>
      <x:c r="L77" s="15" t="str">
        <x:v>Must</x:v>
      </x:c>
      <x:c r="M77" s="15" t="str">
        <x:v>Not Started</x:v>
      </x:c>
      <x:c r="N77" s="15" t="str"/>
      <x:c r="O77" s="15" t="str"/>
      <x:c r="P77" s="15" t="str"/>
      <x:c r="Q77" s="15" t="str">
        <x:v>17,19</x:v>
      </x:c>
    </x:row>
    <x:row r="78">
      <x:c r="A78" s="15" t="str">
        <x:v>P5-06</x:v>
      </x:c>
      <x:c r="B78" s="15" t="n">
        <x:v>5</x:v>
      </x:c>
      <x:c r="C78" s="15" t="str">
        <x:v>AI</x:v>
      </x:c>
      <x:c r="D78" s="15" t="str">
        <x:v>Implement OllamaCloudProviderAdapter</x:v>
      </x:c>
      <x:c r="E78" s="15" t="str">
        <x:v>Connect remote Ollama API.</x:v>
      </x:c>
      <x:c r="F78" s="15" t="str">
        <x:v>Use server-side HTTPS bearer auth and map canonical request/stream/errors.</x:v>
      </x:c>
      <x:c r="G78" s="15" t="str">
        <x:v>No local Ollama assumption; provider-specific details stay internal.</x:v>
      </x:c>
      <x:c r="H78" s="15" t="str">
        <x:v>Provider router + secrets</x:v>
      </x:c>
      <x:c r="I78" s="15" t="str">
        <x:v>Mock HTTP/contract + tiny live smoke.</x:v>
      </x:c>
      <x:c r="J78" s="15" t="str">
        <x:v>Ollama API executes supported typed tasks.</x:v>
      </x:c>
      <x:c r="K78" s="15" t="str">
        <x:v>Contract tests pass.</x:v>
      </x:c>
      <x:c r="L78" s="15" t="str">
        <x:v>Must</x:v>
      </x:c>
      <x:c r="M78" s="15" t="str">
        <x:v>Not Started</x:v>
      </x:c>
      <x:c r="N78" s="15" t="str"/>
      <x:c r="O78" s="15" t="str"/>
      <x:c r="P78" s="15" t="str"/>
      <x:c r="Q78" s="15" t="str">
        <x:v>10,17,19</x:v>
      </x:c>
    </x:row>
    <x:row r="79">
      <x:c r="A79" s="15" t="str">
        <x:v>P5-07</x:v>
      </x:c>
      <x:c r="B79" s="15" t="n">
        <x:v>5</x:v>
      </x:c>
      <x:c r="C79" s="15" t="str">
        <x:v>AI</x:v>
      </x:c>
      <x:c r="D79" s="15" t="str">
        <x:v>Implement AI Request Manager</x:v>
      </x:c>
      <x:c r="E79" s="15" t="str">
        <x:v>Bound concurrency and provider pressure.</x:v>
      </x:c>
      <x:c r="F79" s="15" t="str">
        <x:v>Add per-provider concurrency gates, queue, timeouts, Retry-After/backoff, cancellation and circuit-breaker-like state.</x:v>
      </x:c>
      <x:c r="G79" s="15" t="str">
        <x:v>Interactive tasks get higher priority than background AI.</x:v>
      </x:c>
      <x:c r="H79" s="15" t="str">
        <x:v>Provider adapters</x:v>
      </x:c>
      <x:c r="I79" s="15" t="str">
        <x:v>Concurrency/rate-limit/timeout tests.</x:v>
      </x:c>
      <x:c r="J79" s="15" t="str">
        <x:v>Provider overload degrades predictably without flooding.</x:v>
      </x:c>
      <x:c r="K79" s="15" t="str">
        <x:v>Tests pass.</x:v>
      </x:c>
      <x:c r="L79" s="15" t="str">
        <x:v>Must</x:v>
      </x:c>
      <x:c r="M79" s="15" t="str">
        <x:v>Not Started</x:v>
      </x:c>
      <x:c r="N79" s="15" t="str"/>
      <x:c r="O79" s="15" t="str"/>
      <x:c r="P79" s="15" t="str"/>
      <x:c r="Q79" s="15" t="str">
        <x:v>10,19,24</x:v>
      </x:c>
    </x:row>
    <x:row r="80">
      <x:c r="A80" s="15" t="str">
        <x:v>P5-08</x:v>
      </x:c>
      <x:c r="B80" s="15" t="n">
        <x:v>5</x:v>
      </x:c>
      <x:c r="C80" s="15" t="str">
        <x:v>AI</x:v>
      </x:c>
      <x:c r="D80" s="15" t="str">
        <x:v>Implement output schema validation</x:v>
      </x:c>
      <x:c r="E80" s="15" t="str">
        <x:v>Keep provider output untrusted.</x:v>
      </x:c>
      <x:c r="F80" s="15" t="str">
        <x:v>Parse structured output, validate enums/business constraints and required fields before returning ValidatedAiResult.</x:v>
      </x:c>
      <x:c r="G80" s="15" t="str">
        <x:v>Invalid output cannot mutate learning state.</x:v>
      </x:c>
      <x:c r="H80" s="15" t="str">
        <x:v>AI contracts</x:v>
      </x:c>
      <x:c r="I80" s="15" t="str">
        <x:v>Malformed/missing/extra-field tests.</x:v>
      </x:c>
      <x:c r="J80" s="15" t="str">
        <x:v>Only valid typed results cross AI boundary.</x:v>
      </x:c>
      <x:c r="K80" s="15" t="str">
        <x:v>Validation suite passes.</x:v>
      </x:c>
      <x:c r="L80" s="15" t="str">
        <x:v>Must</x:v>
      </x:c>
      <x:c r="M80" s="15" t="str">
        <x:v>Not Started</x:v>
      </x:c>
      <x:c r="N80" s="15" t="str"/>
      <x:c r="O80" s="15" t="str"/>
      <x:c r="P80" s="15" t="str"/>
      <x:c r="Q80" s="15" t="str">
        <x:v>10,12,22</x:v>
      </x:c>
    </x:row>
    <x:row r="81">
      <x:c r="A81" s="15" t="str">
        <x:v>P5-09</x:v>
      </x:c>
      <x:c r="B81" s="15" t="n">
        <x:v>5</x:v>
      </x:c>
      <x:c r="C81" s="15" t="str">
        <x:v>AI</x:v>
      </x:c>
      <x:c r="D81" s="15" t="str">
        <x:v>Implement source-reference validation</x:v>
      </x:c>
      <x:c r="E81" s="15" t="str">
        <x:v>Prevent fabricated citations.</x:v>
      </x:c>
      <x:c r="F81" s="15" t="str">
        <x:v>Validate provider-returned source IDs are subset of supplied EvidencePackage and still authorized/active.</x:v>
      </x:c>
      <x:c r="G81" s="15" t="str">
        <x:v>Forgery causes AI_GROUNDING_FAILURE or repair path.</x:v>
      </x:c>
      <x:c r="H81" s="15" t="str">
        <x:v>Output validation + RAG</x:v>
      </x:c>
      <x:c r="I81" s="15" t="str">
        <x:v>Fabricated/cross-user/inactive reference tests.</x:v>
      </x:c>
      <x:c r="J81" s="15" t="str">
        <x:v>AI cannot invent accepted citations.</x:v>
      </x:c>
      <x:c r="K81" s="15" t="str">
        <x:v>Security tests pass.</x:v>
      </x:c>
      <x:c r="L81" s="15" t="str">
        <x:v>Must</x:v>
      </x:c>
      <x:c r="M81" s="15" t="str">
        <x:v>Not Started</x:v>
      </x:c>
      <x:c r="N81" s="15" t="str"/>
      <x:c r="O81" s="15" t="str"/>
      <x:c r="P81" s="15" t="str"/>
      <x:c r="Q81" s="15" t="str">
        <x:v>22,25</x:v>
      </x:c>
    </x:row>
    <x:row r="82">
      <x:c r="A82" s="15" t="str">
        <x:v>P5-10</x:v>
      </x:c>
      <x:c r="B82" s="15" t="n">
        <x:v>5</x:v>
      </x:c>
      <x:c r="C82" s="15" t="str">
        <x:v>AI</x:v>
      </x:c>
      <x:c r="D82" s="15" t="str">
        <x:v>Implement bounded repair/retry</x:v>
      </x:c>
      <x:c r="E82" s="15" t="str">
        <x:v>Recover format errors without loops.</x:v>
      </x:c>
      <x:c r="F82" s="15" t="str">
        <x:v>Allow one/few configured structured-output repair attempts using same task/evidence/policy.</x:v>
      </x:c>
      <x:c r="G82" s="15" t="str">
        <x:v>Do not retry safety/authorization failures as availability errors.</x:v>
      </x:c>
      <x:c r="H82" s="15" t="str">
        <x:v>Validation</x:v>
      </x:c>
      <x:c r="I82" s="15" t="str">
        <x:v>Repair success/failure tests.</x:v>
      </x:c>
      <x:c r="J82" s="15" t="str">
        <x:v>Malformed provider output either safely repairs or fails transparently.</x:v>
      </x:c>
      <x:c r="K82" s="15" t="str">
        <x:v>Bounded behavior verified.</x:v>
      </x:c>
      <x:c r="L82" s="15" t="str">
        <x:v>Should</x:v>
      </x:c>
      <x:c r="M82" s="15" t="str">
        <x:v>Not Started</x:v>
      </x:c>
      <x:c r="N82" s="15" t="str"/>
      <x:c r="O82" s="15" t="str"/>
      <x:c r="P82" s="15" t="str"/>
      <x:c r="Q82" s="15" t="str">
        <x:v>12,19</x:v>
      </x:c>
    </x:row>
    <x:row r="83">
      <x:c r="A83" s="15" t="str">
        <x:v>P5-11</x:v>
      </x:c>
      <x:c r="B83" s="15" t="n">
        <x:v>5</x:v>
      </x:c>
      <x:c r="C83" s="15" t="str">
        <x:v>AI</x:v>
      </x:c>
      <x:c r="D83" s="15" t="str">
        <x:v>Implement fallback orchestration</x:v>
      </x:c>
      <x:c r="E83" s="15" t="str">
        <x:v>Preserve contract across providers.</x:v>
      </x:c>
      <x:c r="F83" s="15" t="str">
        <x:v>On eligible provider availability failure, route same canonical task/evidence/grounding/schema to approved fallback.</x:v>
      </x:c>
      <x:c r="G83" s="15" t="str">
        <x:v>Fallback cannot broaden context or weaken policy.</x:v>
      </x:c>
      <x:c r="H83" s="15" t="str">
        <x:v>Router/adapters</x:v>
      </x:c>
      <x:c r="I83" s="15" t="str">
        <x:v>Primary timeout/rate-limit/fallback tests.</x:v>
      </x:c>
      <x:c r="J83" s="15" t="str">
        <x:v>Fallback works invisibly when contract-compatible.</x:v>
      </x:c>
      <x:c r="K83" s="15" t="str">
        <x:v>Tests pass.</x:v>
      </x:c>
      <x:c r="L83" s="15" t="str">
        <x:v>Must</x:v>
      </x:c>
      <x:c r="M83" s="15" t="str">
        <x:v>Not Started</x:v>
      </x:c>
      <x:c r="N83" s="15" t="str"/>
      <x:c r="O83" s="15" t="str"/>
      <x:c r="P83" s="15" t="str"/>
      <x:c r="Q83" s="15" t="str">
        <x:v>10,22</x:v>
      </x:c>
    </x:row>
    <x:row r="84">
      <x:c r="A84" s="15" t="str">
        <x:v>P5-12</x:v>
      </x:c>
      <x:c r="B84" s="15" t="n">
        <x:v>5</x:v>
      </x:c>
      <x:c r="C84" s="15" t="str">
        <x:v>Observability</x:v>
      </x:c>
      <x:c r="D84" s="15" t="str">
        <x:v>Persist AI request/usage diagnostics</x:v>
      </x:c>
      <x:c r="E84" s="15" t="str">
        <x:v>Measure quality/cost without content leakage.</x:v>
      </x:c>
      <x:c r="F84" s="15" t="str">
        <x:v>Write ai_request_records/provider_usage_records with provider/model/task/prompt/tokens/latency/status/fallback.</x:v>
      </x:c>
      <x:c r="G84" s="15" t="str">
        <x:v>Do not persist full prompts by default.</x:v>
      </x:c>
      <x:c r="H84" s="15" t="str">
        <x:v>AI execution</x:v>
      </x:c>
      <x:c r="I84" s="15" t="str">
        <x:v>DB/ privacy tests.</x:v>
      </x:c>
      <x:c r="J84" s="15" t="str">
        <x:v>Operations can compare providers safely.</x:v>
      </x:c>
      <x:c r="K84" s="15" t="str">
        <x:v>Telemetry verified.</x:v>
      </x:c>
      <x:c r="L84" s="15" t="str">
        <x:v>Must</x:v>
      </x:c>
      <x:c r="M84" s="15" t="str">
        <x:v>Not Started</x:v>
      </x:c>
      <x:c r="N84" s="15" t="str"/>
      <x:c r="O84" s="15" t="str"/>
      <x:c r="P84" s="15" t="str"/>
      <x:c r="Q84" s="15" t="str">
        <x:v>18,24</x:v>
      </x:c>
    </x:row>
    <x:row r="85">
      <x:c r="A85" s="15" t="str">
        <x:v>P5-13</x:v>
      </x:c>
      <x:c r="B85" s="15" t="n">
        <x:v>5</x:v>
      </x:c>
      <x:c r="C85" s="15" t="str">
        <x:v>Testing</x:v>
      </x:c>
      <x:c r="D85" s="15" t="str">
        <x:v>Create provider contract and prompt regression suite</x:v>
      </x:c>
      <x:c r="E85" s="15" t="str">
        <x:v>Make AI integration stable.</x:v>
      </x:c>
      <x:c r="F85" s="15" t="str">
        <x:v>Shared tests run against fake provider adapters; small scheduled live smoke set; prompt snapshots/golden schema cases.</x:v>
      </x:c>
      <x:c r="G85" s="15" t="str">
        <x:v>PR CI avoids unnecessary quota.</x:v>
      </x:c>
      <x:c r="H85" s="15" t="str">
        <x:v>All AI infra</x:v>
      </x:c>
      <x:c r="I85" s="15" t="str">
        <x:v>CI/scheduled suite.</x:v>
      </x:c>
      <x:c r="J85" s="15" t="str">
        <x:v>Provider changes do not silently break contracts.</x:v>
      </x:c>
      <x:c r="K85" s="15" t="str">
        <x:v>Suites documented and green.</x:v>
      </x:c>
      <x:c r="L85" s="15" t="str">
        <x:v>Must</x:v>
      </x:c>
      <x:c r="M85" s="15" t="str">
        <x:v>Not Started</x:v>
      </x:c>
      <x:c r="N85" s="15" t="str"/>
      <x:c r="O85" s="15" t="str"/>
      <x:c r="P85" s="15" t="str"/>
      <x:c r="Q85" s="15" t="str">
        <x:v>25</x:v>
      </x:c>
    </x:row>
    <x:row r="86">
      <x:c r="A86" s="15" t="str">
        <x:v>P5-14</x:v>
      </x:c>
      <x:c r="B86" s="15" t="n">
        <x:v>5</x:v>
      </x:c>
      <x:c r="C86" s="15" t="str">
        <x:v>Gate</x:v>
      </x:c>
      <x:c r="D86" s="15" t="str">
        <x:v>Phase 5 AI infrastructure gate</x:v>
      </x:c>
      <x:c r="E86" s="15" t="str">
        <x:v>Prove provider abstraction works independently of Learning Engine.</x:v>
      </x:c>
      <x:c r="F86" s="15" t="str">
        <x:v>Execute same supported task via Gemini and Ollama; simulate primary failure and verify fallback/validation/telemetry.</x:v>
      </x:c>
      <x:c r="G86" s="15" t="str">
        <x:v>RAG evidence remains identical.</x:v>
      </x:c>
      <x:c r="H86" s="15" t="str">
        <x:v>All P5</x:v>
      </x:c>
      <x:c r="I86" s="15" t="str">
        <x:v>Contract + live smoke + fallback.</x:v>
      </x:c>
      <x:c r="J86" s="15" t="str">
        <x:v>Provider can change without domain rewrite.</x:v>
      </x:c>
      <x:c r="K86" s="15" t="str">
        <x:v>Gate evidence recorded.</x:v>
      </x:c>
      <x:c r="L86" s="15" t="str">
        <x:v>Must</x:v>
      </x:c>
      <x:c r="M86" s="15" t="str">
        <x:v>Not Started</x:v>
      </x:c>
      <x:c r="N86" s="15" t="str"/>
      <x:c r="O86" s="15" t="str"/>
      <x:c r="P86" s="15" t="str"/>
      <x:c r="Q86" s="15" t="str">
        <x:v>26</x:v>
      </x:c>
    </x:row>
    <x:row r="87">
      <x:c r="A87" s="15" t="str">
        <x:v>P6-01</x:v>
      </x:c>
      <x:c r="B87" s="15" t="n">
        <x:v>6</x:v>
      </x:c>
      <x:c r="C87" s="15" t="str">
        <x:v>Domain</x:v>
      </x:c>
      <x:c r="D87" s="15" t="str">
        <x:v>Define LearningState model</x:v>
      </x:c>
      <x:c r="E87" s="15" t="str">
        <x:v>Represent only evidence needed for pedagogical decisions.</x:v>
      </x:c>
      <x:c r="F87" s="15" t="str">
        <x:v>Create immutable domain view of mission state, evidence dimensions, source capability, time context and history.</x:v>
      </x:c>
      <x:c r="G87" s="15" t="str">
        <x:v>No provider DTOs or UI state inside.</x:v>
      </x:c>
      <x:c r="H87" s="15" t="str">
        <x:v>P1-P5 domain foundations</x:v>
      </x:c>
      <x:c r="I87" s="15" t="str">
        <x:v>Pure unit tests.</x:v>
      </x:c>
      <x:c r="J87" s="15" t="str">
        <x:v>Learning Engine receives deterministic input.</x:v>
      </x:c>
      <x:c r="K87" s="15" t="str">
        <x:v>Model stable and provider-free.</x:v>
      </x:c>
      <x:c r="L87" s="15" t="str">
        <x:v>Must</x:v>
      </x:c>
      <x:c r="M87" s="15" t="str">
        <x:v>Not Started</x:v>
      </x:c>
      <x:c r="N87" s="15" t="str"/>
      <x:c r="O87" s="15" t="str"/>
      <x:c r="P87" s="15" t="str"/>
      <x:c r="Q87" s="15" t="str">
        <x:v>11,19</x:v>
      </x:c>
    </x:row>
    <x:row r="88">
      <x:c r="A88" s="15" t="str">
        <x:v>P6-02</x:v>
      </x:c>
      <x:c r="B88" s="15" t="n">
        <x:v>6</x:v>
      </x:c>
      <x:c r="C88" s="15" t="str">
        <x:v>Domain</x:v>
      </x:c>
      <x:c r="D88" s="15" t="str">
        <x:v>Define NextLearningAction model</x:v>
      </x:c>
      <x:c r="E88" s="15" t="str">
        <x:v>Make engine outputs explicit.</x:v>
      </x:c>
      <x:c r="F88" s="15" t="str">
        <x:v>Create typed actions: UNDERSTAND, RETRIEVE, CONNECT, APPLY, FEEDBACK/REFLECT/COMPLETE as approved with objective/difficulty/rationale/AI requirement.</x:v>
      </x:c>
      <x:c r="G88" s="15" t="str">
        <x:v>Application layer interprets action.</x:v>
      </x:c>
      <x:c r="H88" s="15" t="str">
        <x:v>LearningState</x:v>
      </x:c>
      <x:c r="I88" s="15" t="str">
        <x:v>Unit serialization/equality tests.</x:v>
      </x:c>
      <x:c r="J88" s="15" t="str">
        <x:v>No raw prompt text returned by engine.</x:v>
      </x:c>
      <x:c r="K88" s="15" t="str">
        <x:v>Action model tested.</x:v>
      </x:c>
      <x:c r="L88" s="15" t="str">
        <x:v>Must</x:v>
      </x:c>
      <x:c r="M88" s="15" t="str">
        <x:v>Not Started</x:v>
      </x:c>
      <x:c r="N88" s="15" t="str"/>
      <x:c r="O88" s="15" t="str"/>
      <x:c r="P88" s="15" t="str"/>
      <x:c r="Q88" s="15" t="str">
        <x:v>11,19</x:v>
      </x:c>
    </x:row>
    <x:row r="89">
      <x:c r="A89" s="15" t="str">
        <x:v>P6-03</x:v>
      </x:c>
      <x:c r="B89" s="15" t="n">
        <x:v>6</x:v>
      </x:c>
      <x:c r="C89" s="15" t="str">
        <x:v>Domain</x:v>
      </x:c>
      <x:c r="D89" s="15" t="str">
        <x:v>Implement mission state machine policy</x:v>
      </x:c>
      <x:c r="E89" s="15" t="str">
        <x:v>Protect valid progression lifecycle.</x:v>
      </x:c>
      <x:c r="F89" s="15" t="str">
        <x:v>Implement planned/active/paused/completed/stopped transitions and validation.</x:v>
      </x:c>
      <x:c r="G89" s="15" t="str">
        <x:v>Completion does not imply mastery.</x:v>
      </x:c>
      <x:c r="H89" s="15" t="str">
        <x:v>Learning models</x:v>
      </x:c>
      <x:c r="I89" s="15" t="str">
        <x:v>All valid/invalid transition unit tests.</x:v>
      </x:c>
      <x:c r="J89" s="15" t="str">
        <x:v>Illegal transitions rejected deterministically.</x:v>
      </x:c>
      <x:c r="K89" s="15" t="str">
        <x:v>State suite passes.</x:v>
      </x:c>
      <x:c r="L89" s="15" t="str">
        <x:v>Must</x:v>
      </x:c>
      <x:c r="M89" s="15" t="str">
        <x:v>Not Started</x:v>
      </x:c>
      <x:c r="N89" s="15" t="str"/>
      <x:c r="O89" s="15" t="str"/>
      <x:c r="P89" s="15" t="str"/>
      <x:c r="Q89" s="15" t="str">
        <x:v>11,18</x:v>
      </x:c>
    </x:row>
    <x:row r="90">
      <x:c r="A90" s="15" t="str">
        <x:v>P6-04</x:v>
      </x:c>
      <x:c r="B90" s="15" t="n">
        <x:v>6</x:v>
      </x:c>
      <x:c r="C90" s="15" t="str">
        <x:v>Domain</x:v>
      </x:c>
      <x:c r="D90" s="15" t="str">
        <x:v>Implement understand→retrieve policy</x:v>
      </x:c>
      <x:c r="E90" s="15" t="str">
        <x:v>Move from explanation to active recall appropriately.</x:v>
      </x:c>
      <x:c r="F90" s="15" t="str">
        <x:v>Define conditions for explanation then retrieval, respecting time/source capability and existing evidence.</x:v>
      </x:c>
      <x:c r="G90" s="15" t="str">
        <x:v>Engine chooses action, AI only generates content later.</x:v>
      </x:c>
      <x:c r="H90" s="15" t="str">
        <x:v>LearningState</x:v>
      </x:c>
      <x:c r="I90" s="15" t="str">
        <x:v>Table-driven policy tests.</x:v>
      </x:c>
      <x:c r="J90" s="15" t="str">
        <x:v>Weak/insufficient knowledge gets appropriate understanding/retrieval.</x:v>
      </x:c>
      <x:c r="K90" s="15" t="str">
        <x:v>Cases pass.</x:v>
      </x:c>
      <x:c r="L90" s="15" t="str">
        <x:v>Must</x:v>
      </x:c>
      <x:c r="M90" s="15" t="str">
        <x:v>Not Started</x:v>
      </x:c>
      <x:c r="N90" s="15" t="str"/>
      <x:c r="O90" s="15" t="str"/>
      <x:c r="P90" s="15" t="str"/>
      <x:c r="Q90" s="15" t="str">
        <x:v>03,11</x:v>
      </x:c>
    </x:row>
    <x:row r="91">
      <x:c r="A91" s="15" t="str">
        <x:v>P6-05</x:v>
      </x:c>
      <x:c r="B91" s="15" t="n">
        <x:v>6</x:v>
      </x:c>
      <x:c r="C91" s="15" t="str">
        <x:v>Domain</x:v>
      </x:c>
      <x:c r="D91" s="15" t="str">
        <x:v>Implement connection policy</x:v>
      </x:c>
      <x:c r="E91" s="15" t="str">
        <x:v>Require relational learning when appropriate.</x:v>
      </x:c>
      <x:c r="F91" s="15" t="str">
        <x:v>Select CONNECT activities after basic understanding/retrieval when concept relationships matter.</x:v>
      </x:c>
      <x:c r="G91" s="15" t="str">
        <x:v>Uses evidence not learning-style labels.</x:v>
      </x:c>
      <x:c r="H91" s="15" t="str">
        <x:v>Evidence state</x:v>
      </x:c>
      <x:c r="I91" s="15" t="str">
        <x:v>Scenario tests.</x:v>
      </x:c>
      <x:c r="J91" s="15" t="str">
        <x:v>Connections appear at appropriate stage.</x:v>
      </x:c>
      <x:c r="K91" s="15" t="str">
        <x:v>Policy tests pass.</x:v>
      </x:c>
      <x:c r="L91" s="15" t="str">
        <x:v>Must</x:v>
      </x:c>
      <x:c r="M91" s="15" t="str">
        <x:v>Not Started</x:v>
      </x:c>
      <x:c r="N91" s="15" t="str"/>
      <x:c r="O91" s="15" t="str"/>
      <x:c r="P91" s="15" t="str"/>
      <x:c r="Q91" s="15" t="str">
        <x:v>03,11</x:v>
      </x:c>
    </x:row>
    <x:row r="92">
      <x:c r="A92" s="15" t="str">
        <x:v>P6-06</x:v>
      </x:c>
      <x:c r="B92" s="15" t="n">
        <x:v>6</x:v>
      </x:c>
      <x:c r="C92" s="15" t="str">
        <x:v>Domain</x:v>
      </x:c>
      <x:c r="D92" s="15" t="str">
        <x:v>Implement application/scenario policy</x:v>
      </x:c>
      <x:c r="E92" s="15" t="str">
        <x:v>Introduce practical medical application with scaffolding.</x:v>
      </x:c>
      <x:c r="F92" s="15" t="str">
        <x:v>Choose APPLY when prerequisites are adequate; reduce difficulty or return to UNDERSTAND/RETRIEVE after weak performance.</x:v>
      </x:c>
      <x:c r="G92" s="15" t="str">
        <x:v>Early students get educational scenarios, not clinical autonomy.</x:v>
      </x:c>
      <x:c r="H92" s="15" t="str">
        <x:v>Evidence + objectives</x:v>
      </x:c>
      <x:c r="I92" s="15" t="str">
        <x:v>Weak/strong application cases.</x:v>
      </x:c>
      <x:c r="J92" s="15" t="str">
        <x:v>Appropriate application practice selected.</x:v>
      </x:c>
      <x:c r="K92" s="15" t="str">
        <x:v>Policy suite passes.</x:v>
      </x:c>
      <x:c r="L92" s="15" t="str">
        <x:v>Must</x:v>
      </x:c>
      <x:c r="M92" s="15" t="str">
        <x:v>Not Started</x:v>
      </x:c>
      <x:c r="N92" s="15" t="str"/>
      <x:c r="O92" s="15" t="str"/>
      <x:c r="P92" s="15" t="str"/>
      <x:c r="Q92" s="15" t="str">
        <x:v>03,11</x:v>
      </x:c>
    </x:row>
    <x:row r="93">
      <x:c r="A93" s="15" t="str">
        <x:v>P6-07</x:v>
      </x:c>
      <x:c r="B93" s="15" t="n">
        <x:v>6</x:v>
      </x:c>
      <x:c r="C93" s="15" t="str">
        <x:v>Domain</x:v>
      </x:c>
      <x:c r="D93" s="15" t="str">
        <x:v>Implement time-aware mission policy</x:v>
      </x:c>
      <x:c r="E93" s="15" t="str">
        <x:v>Fit learning sequence to available study time.</x:v>
      </x:c>
      <x:c r="F93" s="15" t="str">
        <x:v>Use available_time and activity estimates to select bounded next actions/complete gracefully.</x:v>
      </x:c>
      <x:c r="G93" s="15" t="str">
        <x:v>Timer does not equal mastery.</x:v>
      </x:c>
      <x:c r="H93" s="15" t="str">
        <x:v>Mission context</x:v>
      </x:c>
      <x:c r="I93" s="15" t="str">
        <x:v>5/15/30-minute cases.</x:v>
      </x:c>
      <x:c r="J93" s="15" t="str">
        <x:v>Mission remains coherent within time limit.</x:v>
      </x:c>
      <x:c r="K93" s="15" t="str">
        <x:v>Tests pass.</x:v>
      </x:c>
      <x:c r="L93" s="15" t="str">
        <x:v>Should</x:v>
      </x:c>
      <x:c r="M93" s="15" t="str">
        <x:v>Not Started</x:v>
      </x:c>
      <x:c r="N93" s="15" t="str"/>
      <x:c r="O93" s="15" t="str"/>
      <x:c r="P93" s="15" t="str"/>
      <x:c r="Q93" s="15" t="str">
        <x:v>06,11</x:v>
      </x:c>
    </x:row>
    <x:row r="94">
      <x:c r="A94" s="15" t="str">
        <x:v>P6-08</x:v>
      </x:c>
      <x:c r="B94" s="15" t="n">
        <x:v>6</x:v>
      </x:c>
      <x:c r="C94" s="15" t="str">
        <x:v>Domain</x:v>
      </x:c>
      <x:c r="D94" s="15" t="str">
        <x:v>Implement scaffolding policy</x:v>
      </x:c>
      <x:c r="E94" s="15" t="str">
        <x:v>Respond to difficulty without giving answers immediately.</x:v>
      </x:c>
      <x:c r="F94" s="15" t="str">
        <x:v>Define retry → hint → simpler explanation/prerequisite → reattempt behavior.</x:v>
      </x:c>
      <x:c r="G94" s="15" t="str">
        <x:v>Scaffolding is deterministic; wording may use AI.</x:v>
      </x:c>
      <x:c r="H94" s="15" t="str">
        <x:v>Attempt history</x:v>
      </x:c>
      <x:c r="I94" s="15" t="str">
        <x:v>Table-driven incorrect/partial cases.</x:v>
      </x:c>
      <x:c r="J94" s="15" t="str">
        <x:v>Student receives progressively useful support.</x:v>
      </x:c>
      <x:c r="K94" s="15" t="str">
        <x:v>Tests pass.</x:v>
      </x:c>
      <x:c r="L94" s="15" t="str">
        <x:v>Must</x:v>
      </x:c>
      <x:c r="M94" s="15" t="str">
        <x:v>Not Started</x:v>
      </x:c>
      <x:c r="N94" s="15" t="str"/>
      <x:c r="O94" s="15" t="str"/>
      <x:c r="P94" s="15" t="str"/>
      <x:c r="Q94" s="15" t="str">
        <x:v>03,11</x:v>
      </x:c>
    </x:row>
    <x:row r="95">
      <x:c r="A95" s="15" t="str">
        <x:v>P6-09</x:v>
      </x:c>
      <x:c r="B95" s="15" t="n">
        <x:v>6</x:v>
      </x:c>
      <x:c r="C95" s="15" t="str">
        <x:v>Domain</x:v>
      </x:c>
      <x:c r="D95" s="15" t="str">
        <x:v>Implement anti-repetition policy</x:v>
      </x:c>
      <x:c r="E95" s="15" t="str">
        <x:v>Avoid mechanically repeating same question/activity.</x:v>
      </x:c>
      <x:c r="F95" s="15" t="str">
        <x:v>Track recent activity/concept/template history and exclude unnecessary repeats while allowing deliberate spaced review.</x:v>
      </x:c>
      <x:c r="G95" s="15" t="str">
        <x:v>No random repetition by provider.</x:v>
      </x:c>
      <x:c r="H95" s="15" t="str">
        <x:v>History</x:v>
      </x:c>
      <x:c r="I95" s="15" t="str">
        <x:v>Repeat-history unit tests.</x:v>
      </x:c>
      <x:c r="J95" s="15" t="str">
        <x:v>Learning variety remains purposeful.</x:v>
      </x:c>
      <x:c r="K95" s="15" t="str">
        <x:v>Tests pass.</x:v>
      </x:c>
      <x:c r="L95" s="15" t="str">
        <x:v>Should</x:v>
      </x:c>
      <x:c r="M95" s="15" t="str">
        <x:v>Not Started</x:v>
      </x:c>
      <x:c r="N95" s="15" t="str"/>
      <x:c r="O95" s="15" t="str"/>
      <x:c r="P95" s="15" t="str"/>
      <x:c r="Q95" s="15" t="str">
        <x:v>11</x:v>
      </x:c>
    </x:row>
    <x:row r="96">
      <x:c r="A96" s="15" t="str">
        <x:v>P6-10</x:v>
      </x:c>
      <x:c r="B96" s="15" t="n">
        <x:v>6</x:v>
      </x:c>
      <x:c r="C96" s="15" t="str">
        <x:v>Domain</x:v>
      </x:c>
      <x:c r="D96" s="15" t="str">
        <x:v>Implement source-capability policy</x:v>
      </x:c>
      <x:c r="E96" s="15" t="str">
        <x:v>Never request unsupported activity types.</x:v>
      </x:c>
      <x:c r="F96" s="15" t="str">
        <x:v>Use material capabilities/quality to avoid visual/source-strict tasks when unavailable or poor.</x:v>
      </x:c>
      <x:c r="G96" s="15" t="str">
        <x:v>RAG/ingestion limitations feed engine.</x:v>
      </x:c>
      <x:c r="H96" s="15" t="str">
        <x:v>Material capability</x:v>
      </x:c>
      <x:c r="I96" s="15" t="str">
        <x:v>No-visual/limited-OCR/no-evidence cases.</x:v>
      </x:c>
      <x:c r="J96" s="15" t="str">
        <x:v>Engine picks safe alternative or signals limitation.</x:v>
      </x:c>
      <x:c r="K96" s="15" t="str">
        <x:v>Tests pass.</x:v>
      </x:c>
      <x:c r="L96" s="15" t="str">
        <x:v>Must</x:v>
      </x:c>
      <x:c r="M96" s="15" t="str">
        <x:v>Not Started</x:v>
      </x:c>
      <x:c r="N96" s="15" t="str"/>
      <x:c r="O96" s="15" t="str"/>
      <x:c r="P96" s="15" t="str"/>
      <x:c r="Q96" s="15" t="str">
        <x:v>11,21</x:v>
      </x:c>
    </x:row>
    <x:row r="97">
      <x:c r="A97" s="15" t="str">
        <x:v>P6-11</x:v>
      </x:c>
      <x:c r="B97" s="15" t="n">
        <x:v>6</x:v>
      </x:c>
      <x:c r="C97" s="15" t="str">
        <x:v>Domain</x:v>
      </x:c>
      <x:c r="D97" s="15" t="str">
        <x:v>Implement AI/RAG failure policy</x:v>
      </x:c>
      <x:c r="E97" s="15" t="str">
        <x:v>Define pedagogical fallback when dependencies fail.</x:v>
      </x:c>
      <x:c r="F97" s="15" t="str">
        <x:v>Map RAG LIMITED/INSUFFICIENT/FAILED and AI unavailable to reuse/source-only/retry/pause actions where appropriate.</x:v>
      </x:c>
      <x:c r="G97" s="15" t="str">
        <x:v>Failure is explicit, never hidden as empty context.</x:v>
      </x:c>
      <x:c r="H97" s="15" t="str">
        <x:v>RAG/AI result types</x:v>
      </x:c>
      <x:c r="I97" s="15" t="str">
        <x:v>Failure matrix tests.</x:v>
      </x:c>
      <x:c r="J97" s="15" t="str">
        <x:v>Mission degrades safely.</x:v>
      </x:c>
      <x:c r="K97" s="15" t="str">
        <x:v>Tests pass.</x:v>
      </x:c>
      <x:c r="L97" s="15" t="str">
        <x:v>Must</x:v>
      </x:c>
      <x:c r="M97" s="15" t="str">
        <x:v>Not Started</x:v>
      </x:c>
      <x:c r="N97" s="15" t="str"/>
      <x:c r="O97" s="15" t="str"/>
      <x:c r="P97" s="15" t="str"/>
      <x:c r="Q97" s="15" t="str">
        <x:v>11,19</x:v>
      </x:c>
    </x:row>
    <x:row r="98">
      <x:c r="A98" s="15" t="str">
        <x:v>P6-12</x:v>
      </x:c>
      <x:c r="B98" s="15" t="n">
        <x:v>6</x:v>
      </x:c>
      <x:c r="C98" s="15" t="str">
        <x:v>Testing</x:v>
      </x:c>
      <x:c r="D98" s="15" t="str">
        <x:v>Create Learning Engine scenario suite</x:v>
      </x:c>
      <x:c r="E98" s="15" t="str">
        <x:v>Prove pedagogy deterministically.</x:v>
      </x:c>
      <x:c r="F98" s="15" t="str">
        <x:v>Build table-driven scenarios across evidence dimensions, time, misconceptions, source quality and history.</x:v>
      </x:c>
      <x:c r="G98" s="15" t="str">
        <x:v>No live AI needed.</x:v>
      </x:c>
      <x:c r="H98" s="15" t="str">
        <x:v>Engine policies</x:v>
      </x:c>
      <x:c r="I98" s="15" t="str">
        <x:v>Hundreds of deterministic cases where practical.</x:v>
      </x:c>
      <x:c r="J98" s="15" t="str">
        <x:v>Changes reveal pedagogical regressions.</x:v>
      </x:c>
      <x:c r="K98" s="15" t="str">
        <x:v>Suite green and versioned.</x:v>
      </x:c>
      <x:c r="L98" s="15" t="str">
        <x:v>Must</x:v>
      </x:c>
      <x:c r="M98" s="15" t="str">
        <x:v>Not Started</x:v>
      </x:c>
      <x:c r="N98" s="15" t="str"/>
      <x:c r="O98" s="15" t="str"/>
      <x:c r="P98" s="15" t="str"/>
      <x:c r="Q98" s="15" t="str">
        <x:v>11,25</x:v>
      </x:c>
    </x:row>
    <x:row r="99">
      <x:c r="A99" s="15" t="str">
        <x:v>P6-13</x:v>
      </x:c>
      <x:c r="B99" s="15" t="n">
        <x:v>6</x:v>
      </x:c>
      <x:c r="C99" s="15" t="str">
        <x:v>Architecture</x:v>
      </x:c>
      <x:c r="D99" s="15" t="str">
        <x:v>Verify Learning Engine provider independence</x:v>
      </x:c>
      <x:c r="E99" s="15" t="str">
        <x:v>Prevent AI authority drift.</x:v>
      </x:c>
      <x:c r="F99" s="15" t="str">
        <x:v>ArchUnit rules block learning.domain dependencies on ai.infrastructure, Spring MVC/JPA/provider SDKs.</x:v>
      </x:c>
      <x:c r="G99" s="15" t="str">
        <x:v>Engine may depend only on domain/ports/value types.</x:v>
      </x:c>
      <x:c r="H99" s="15" t="str">
        <x:v>Architecture tests</x:v>
      </x:c>
      <x:c r="I99" s="15" t="str">
        <x:v>Intentional violation check.</x:v>
      </x:c>
      <x:c r="J99" s="15" t="str">
        <x:v>Learning Engine remains pure/testable.</x:v>
      </x:c>
      <x:c r="K99" s="15" t="str">
        <x:v>CI rule active.</x:v>
      </x:c>
      <x:c r="L99" s="15" t="str">
        <x:v>Must</x:v>
      </x:c>
      <x:c r="M99" s="15" t="str">
        <x:v>Not Started</x:v>
      </x:c>
      <x:c r="N99" s="15" t="str"/>
      <x:c r="O99" s="15" t="str"/>
      <x:c r="P99" s="15" t="str"/>
      <x:c r="Q99" s="15" t="str">
        <x:v>19,25</x:v>
      </x:c>
    </x:row>
    <x:row r="100">
      <x:c r="A100" s="15" t="str">
        <x:v>P6-14</x:v>
      </x:c>
      <x:c r="B100" s="15" t="n">
        <x:v>6</x:v>
      </x:c>
      <x:c r="C100" s="15" t="str">
        <x:v>Gate</x:v>
      </x:c>
      <x:c r="D100" s="15" t="str">
        <x:v>Phase 6 Learning Engine gate</x:v>
      </x:c>
      <x:c r="E100" s="15" t="str">
        <x:v>Prove Hippocampus can decide next action without LLM.</x:v>
      </x:c>
      <x:c r="F100" s="15" t="str">
        <x:v>Feed representative student states and review expected actions/rationales.</x:v>
      </x:c>
      <x:c r="G100" s="15" t="str">
        <x:v>No provider calls occur.</x:v>
      </x:c>
      <x:c r="H100" s="15" t="str">
        <x:v>All P6</x:v>
      </x:c>
      <x:c r="I100" s="15" t="str">
        <x:v>Deterministic scenario suite.</x:v>
      </x:c>
      <x:c r="J100" s="15" t="str">
        <x:v>Pedagogical sequencing is application-owned.</x:v>
      </x:c>
      <x:c r="K100" s="15" t="str">
        <x:v>Gate evidence recorded.</x:v>
      </x:c>
      <x:c r="L100" s="15" t="str">
        <x:v>Must</x:v>
      </x:c>
      <x:c r="M100" s="15" t="str">
        <x:v>Not Started</x:v>
      </x:c>
      <x:c r="N100" s="15" t="str"/>
      <x:c r="O100" s="15" t="str"/>
      <x:c r="P100" s="15" t="str"/>
      <x:c r="Q100" s="15" t="str">
        <x:v>26</x:v>
      </x:c>
    </x:row>
    <x:row r="101">
      <x:c r="A101" s="15" t="str">
        <x:v>P7-01</x:v>
      </x:c>
      <x:c r="B101" s="15" t="n">
        <x:v>7</x:v>
      </x:c>
      <x:c r="C101" s="15" t="str">
        <x:v>Database</x:v>
      </x:c>
      <x:c r="D101" s="15" t="str">
        <x:v>Create StudyMission/LearningObjective/LearningActivity schema</x:v>
      </x:c>
      <x:c r="E101" s="15" t="str">
        <x:v>Persist complete mission plan and current activity.</x:v>
      </x:c>
      <x:c r="F101" s="15" t="str">
        <x:v>Implement tables/entities/repos and mission_materials/source links as Doc 18.</x:v>
      </x:c>
      <x:c r="G101" s="15" t="str">
        <x:v>Mission freezes material versions.</x:v>
      </x:c>
      <x:c r="H101" s="15" t="str">
        <x:v>P2-P6</x:v>
      </x:c>
      <x:c r="I101" s="15" t="str">
        <x:v>Migration/FK/version tests.</x:v>
      </x:c>
      <x:c r="J101" s="15" t="str">
        <x:v>Mission can be resumed reproducibly.</x:v>
      </x:c>
      <x:c r="K101" s="15" t="str">
        <x:v>Schema tests pass.</x:v>
      </x:c>
      <x:c r="L101" s="15" t="str">
        <x:v>Must</x:v>
      </x:c>
      <x:c r="M101" s="15" t="str">
        <x:v>Not Started</x:v>
      </x:c>
      <x:c r="N101" s="15" t="str"/>
      <x:c r="O101" s="15" t="str"/>
      <x:c r="P101" s="15" t="str"/>
      <x:c r="Q101" s="15" t="str">
        <x:v>18</x:v>
      </x:c>
    </x:row>
    <x:row r="102">
      <x:c r="A102" s="15" t="str">
        <x:v>P7-02</x:v>
      </x:c>
      <x:c r="B102" s="15" t="n">
        <x:v>7</x:v>
      </x:c>
      <x:c r="C102" s="15" t="str">
        <x:v>Database</x:v>
      </x:c>
      <x:c r="D102" s="15" t="str">
        <x:v>Create StudentAttempt schema</x:v>
      </x:c>
      <x:c r="E102" s="15" t="str">
        <x:v>Keep immutable attempt history.</x:v>
      </x:c>
      <x:c r="F102" s="15" t="str">
        <x:v>Persist attempt_number, response payload/text, evaluation status/artifact references.</x:v>
      </x:c>
      <x:c r="G102" s="15" t="str">
        <x:v>Retries create new rows, never overwrite prior attempt.</x:v>
      </x:c>
      <x:c r="H102" s="15" t="str">
        <x:v>Activities</x:v>
      </x:c>
      <x:c r="I102" s="15" t="str">
        <x:v>Uniqueness/ordering tests.</x:v>
      </x:c>
      <x:c r="J102" s="15" t="str">
        <x:v>Attempt history is traceable.</x:v>
      </x:c>
      <x:c r="K102" s="15" t="str">
        <x:v>Tests pass.</x:v>
      </x:c>
      <x:c r="L102" s="15" t="str">
        <x:v>Must</x:v>
      </x:c>
      <x:c r="M102" s="15" t="str">
        <x:v>Not Started</x:v>
      </x:c>
      <x:c r="N102" s="15" t="str"/>
      <x:c r="O102" s="15" t="str"/>
      <x:c r="P102" s="15" t="str"/>
      <x:c r="Q102" s="15" t="str">
        <x:v>18</x:v>
      </x:c>
    </x:row>
    <x:row r="103">
      <x:c r="A103" s="15" t="str">
        <x:v>P7-03</x:v>
      </x:c>
      <x:c r="B103" s="15" t="n">
        <x:v>7</x:v>
      </x:c>
      <x:c r="C103" s="15" t="str">
        <x:v>Application</x:v>
      </x:c>
      <x:c r="D103" s="15" t="str">
        <x:v>Implement StartStudyMissionUseCase</x:v>
      </x:c>
      <x:c r="E103" s="15" t="str">
        <x:v>Create bounded mission from topic, time and sources.</x:v>
      </x:c>
      <x:c r="F103" s="15" t="str">
        <x:v>Validate ownership/readiness, freeze allowed material versions, derive objectives/initial state and first LearningEngine action.</x:v>
      </x:c>
      <x:c r="G103" s="15" t="str">
        <x:v>RAG/AI called only if first action needs content.</x:v>
      </x:c>
      <x:c r="H103" s="15" t="str">
        <x:v>Mission schema + engine</x:v>
      </x:c>
      <x:c r="I103" s="15" t="str">
        <x:v>Use-case tests with ready/partial/no-source states.</x:v>
      </x:c>
      <x:c r="J103" s="15" t="str">
        <x:v>Starting a mission yields first valid activity or clear limitation.</x:v>
      </x:c>
      <x:c r="K103" s="15" t="str">
        <x:v>Tests pass.</x:v>
      </x:c>
      <x:c r="L103" s="15" t="str">
        <x:v>Must</x:v>
      </x:c>
      <x:c r="M103" s="15" t="str">
        <x:v>Not Started</x:v>
      </x:c>
      <x:c r="N103" s="15" t="str"/>
      <x:c r="O103" s="15" t="str"/>
      <x:c r="P103" s="15" t="str"/>
      <x:c r="Q103" s="15" t="str">
        <x:v>19</x:v>
      </x:c>
    </x:row>
    <x:row r="104">
      <x:c r="A104" s="15" t="str">
        <x:v>P7-04</x:v>
      </x:c>
      <x:c r="B104" s="15" t="n">
        <x:v>7</x:v>
      </x:c>
      <x:c r="C104" s="15" t="str">
        <x:v>Application</x:v>
      </x:c>
      <x:c r="D104" s="15" t="str">
        <x:v>Implement activity materialization</x:v>
      </x:c>
      <x:c r="E104" s="15" t="str">
        <x:v>Turn NextLearningAction into concrete activity.</x:v>
      </x:c>
      <x:c r="F104" s="15" t="str">
        <x:v>For deterministic actions create directly; for AI tasks retrieve EvidencePackage, execute typed task, validate, persist artifact/activity/source refs.</x:v>
      </x:c>
      <x:c r="G104" s="15" t="str">
        <x:v>Engine decides kind; AI creates bounded content.</x:v>
      </x:c>
      <x:c r="H104" s="15" t="str">
        <x:v>RAG + AI + mission</x:v>
      </x:c>
      <x:c r="I104" s="15" t="str">
        <x:v>Integration tests by activity type.</x:v>
      </x:c>
      <x:c r="J104" s="15" t="str">
        <x:v>Activity content is grounded and typed.</x:v>
      </x:c>
      <x:c r="K104" s="15" t="str">
        <x:v>Tests pass.</x:v>
      </x:c>
      <x:c r="L104" s="15" t="str">
        <x:v>Must</x:v>
      </x:c>
      <x:c r="M104" s="15" t="str">
        <x:v>Not Started</x:v>
      </x:c>
      <x:c r="N104" s="15" t="str"/>
      <x:c r="O104" s="15" t="str"/>
      <x:c r="P104" s="15" t="str"/>
      <x:c r="Q104" s="15" t="str">
        <x:v>11,19</x:v>
      </x:c>
    </x:row>
    <x:row r="105">
      <x:c r="A105" s="15" t="str">
        <x:v>P7-05</x:v>
      </x:c>
      <x:c r="B105" s="15" t="n">
        <x:v>7</x:v>
      </x:c>
      <x:c r="C105" s="15" t="str">
        <x:v>Application</x:v>
      </x:c>
      <x:c r="D105" s="15" t="str">
        <x:v>Implement SubmitActivityResponseUseCase</x:v>
      </x:c>
      <x:c r="E105" s="15" t="str">
        <x:v>Process student answer safely.</x:v>
      </x:c>
      <x:c r="F105" s="15" t="str">
        <x:v>Persist/prepare attempt, evaluate deterministically or via AI, validate result, generate evidence event later, ask engine for next action, persist state in short transactions.</x:v>
      </x:c>
      <x:c r="G105" s="15" t="str">
        <x:v>No DB transaction held across long provider call.</x:v>
      </x:c>
      <x:c r="H105" s="15" t="str">
        <x:v>Activities + AI</x:v>
      </x:c>
      <x:c r="I105" s="15" t="str">
        <x:v>Correct/partial/invalid/timeout/stale-state tests.</x:v>
      </x:c>
      <x:c r="J105" s="15" t="str">
        <x:v>Answer leads to validated feedback and next action without duplicate state.</x:v>
      </x:c>
      <x:c r="K105" s="15" t="str">
        <x:v>Tests pass.</x:v>
      </x:c>
      <x:c r="L105" s="15" t="str">
        <x:v>Must</x:v>
      </x:c>
      <x:c r="M105" s="15" t="str">
        <x:v>Not Started</x:v>
      </x:c>
      <x:c r="N105" s="15" t="str"/>
      <x:c r="O105" s="15" t="str"/>
      <x:c r="P105" s="15" t="str"/>
      <x:c r="Q105" s="15" t="str">
        <x:v>19</x:v>
      </x:c>
    </x:row>
    <x:row r="106">
      <x:c r="A106" s="15" t="str">
        <x:v>P7-06</x:v>
      </x:c>
      <x:c r="B106" s="15" t="n">
        <x:v>7</x:v>
      </x:c>
      <x:c r="C106" s="15" t="str">
        <x:v>Application</x:v>
      </x:c>
      <x:c r="D106" s="15" t="str">
        <x:v>Implement pause/resume/stop mission</x:v>
      </x:c>
      <x:c r="E106" s="15" t="str">
        <x:v>Preserve continuity.</x:v>
      </x:c>
      <x:c r="F106" s="15" t="str">
        <x:v>Add use cases and endpoints maintaining current activity/time/material versions.</x:v>
      </x:c>
      <x:c r="G106" s="15" t="str">
        <x:v>Resume does not regenerate completed setup unnecessarily.</x:v>
      </x:c>
      <x:c r="H106" s="15" t="str">
        <x:v>Mission state</x:v>
      </x:c>
      <x:c r="I106" s="15" t="str">
        <x:v>State transition + restart tests.</x:v>
      </x:c>
      <x:c r="J106" s="15" t="str">
        <x:v>Student can leave and return safely.</x:v>
      </x:c>
      <x:c r="K106" s="15" t="str">
        <x:v>Tests pass.</x:v>
      </x:c>
      <x:c r="L106" s="15" t="str">
        <x:v>Must</x:v>
      </x:c>
      <x:c r="M106" s="15" t="str">
        <x:v>Not Started</x:v>
      </x:c>
      <x:c r="N106" s="15" t="str"/>
      <x:c r="O106" s="15" t="str"/>
      <x:c r="P106" s="15" t="str"/>
      <x:c r="Q106" s="15" t="str">
        <x:v>06,18</x:v>
      </x:c>
    </x:row>
    <x:row r="107">
      <x:c r="A107" s="15" t="str">
        <x:v>P7-07</x:v>
      </x:c>
      <x:c r="B107" s="15" t="n">
        <x:v>7</x:v>
      </x:c>
      <x:c r="C107" s="15" t="str">
        <x:v>AI</x:v>
      </x:c>
      <x:c r="D107" s="15" t="str">
        <x:v>Implement explanation task end-to-end</x:v>
      </x:c>
      <x:c r="E107" s="15" t="str">
        <x:v>Support Understand activity.</x:v>
      </x:c>
      <x:c r="F107" s="15" t="str">
        <x:v>Use EvidencePackage + objective + learner context → structured explanation/key points/source refs.</x:v>
      </x:c>
      <x:c r="G107" s="15" t="str">
        <x:v>Supplemental knowledge classified explicitly.</x:v>
      </x:c>
      <x:c r="H107" s="15" t="str">
        <x:v>AI infra + RAG</x:v>
      </x:c>
      <x:c r="I107" s="15" t="str">
        <x:v>Golden explanation cases.</x:v>
      </x:c>
      <x:c r="J107" s="15" t="str">
        <x:v>Explanation is source-grounded and learner-appropriate.</x:v>
      </x:c>
      <x:c r="K107" s="15" t="str">
        <x:v>Tests/eval pass.</x:v>
      </x:c>
      <x:c r="L107" s="15" t="str">
        <x:v>Must</x:v>
      </x:c>
      <x:c r="M107" s="15" t="str">
        <x:v>Not Started</x:v>
      </x:c>
      <x:c r="N107" s="15" t="str"/>
      <x:c r="O107" s="15" t="str"/>
      <x:c r="P107" s="15" t="str"/>
      <x:c r="Q107" s="15" t="str">
        <x:v>07,12,15</x:v>
      </x:c>
    </x:row>
    <x:row r="108">
      <x:c r="A108" s="15" t="str">
        <x:v>P7-08</x:v>
      </x:c>
      <x:c r="B108" s="15" t="n">
        <x:v>7</x:v>
      </x:c>
      <x:c r="C108" s="15" t="str">
        <x:v>AI</x:v>
      </x:c>
      <x:c r="D108" s="15" t="str">
        <x:v>Implement retrieval-question task end-to-end</x:v>
      </x:c>
      <x:c r="E108" s="15" t="str">
        <x:v>Support active retrieval activity.</x:v>
      </x:c>
      <x:c r="F108" s="15" t="str">
        <x:v>Generate structured short-answer/MCQ/identification question with expected evidence, no answer leakage.</x:v>
      </x:c>
      <x:c r="G108" s="15" t="str">
        <x:v>Backend controls activity type/difficulty.</x:v>
      </x:c>
      <x:c r="H108" s="15" t="str">
        <x:v>AI infra</x:v>
      </x:c>
      <x:c r="I108" s="15" t="str">
        <x:v>Question quality/golden cases.</x:v>
      </x:c>
      <x:c r="J108" s="15" t="str">
        <x:v>Question tests target intended concept and sources.</x:v>
      </x:c>
      <x:c r="K108" s="15" t="str">
        <x:v>Eval pass.</x:v>
      </x:c>
      <x:c r="L108" s="15" t="str">
        <x:v>Must</x:v>
      </x:c>
      <x:c r="M108" s="15" t="str">
        <x:v>Not Started</x:v>
      </x:c>
      <x:c r="N108" s="15" t="str"/>
      <x:c r="O108" s="15" t="str"/>
      <x:c r="P108" s="15" t="str"/>
      <x:c r="Q108" s="15" t="str">
        <x:v>03,07</x:v>
      </x:c>
    </x:row>
    <x:row r="109">
      <x:c r="A109" s="15" t="str">
        <x:v>P7-09</x:v>
      </x:c>
      <x:c r="B109" s="15" t="n">
        <x:v>7</x:v>
      </x:c>
      <x:c r="C109" s="15" t="str">
        <x:v>AI</x:v>
      </x:c>
      <x:c r="D109" s="15" t="str">
        <x:v>Implement response-evaluation task end-to-end</x:v>
      </x:c>
      <x:c r="E109" s="15" t="str">
        <x:v>Provide formative feedback without false scoring.</x:v>
      </x:c>
      <x:c r="F109" s="15" t="str">
        <x:v>Evaluate student response against expected evidence, return correctness dimensions/missing reasoning/misconception candidate/feedback contract.</x:v>
      </x:c>
      <x:c r="G109" s="15" t="str">
        <x:v>Learning Engine/progress later interprets; AI doesn't set mastery.</x:v>
      </x:c>
      <x:c r="H109" s="15" t="str">
        <x:v>AI infra</x:v>
      </x:c>
      <x:c r="I109" s="15" t="str">
        <x:v>Correct/partial/alternative/wrong reasoning tests.</x:v>
      </x:c>
      <x:c r="J109" s="15" t="str">
        <x:v>Evaluation is nuanced and structured.</x:v>
      </x:c>
      <x:c r="K109" s="15" t="str">
        <x:v>Golden eval pass.</x:v>
      </x:c>
      <x:c r="L109" s="15" t="str">
        <x:v>Must</x:v>
      </x:c>
      <x:c r="M109" s="15" t="str">
        <x:v>Not Started</x:v>
      </x:c>
      <x:c r="N109" s="15" t="str"/>
      <x:c r="O109" s="15" t="str"/>
      <x:c r="P109" s="15" t="str"/>
      <x:c r="Q109" s="15" t="str">
        <x:v>11,15</x:v>
      </x:c>
    </x:row>
    <x:row r="110">
      <x:c r="A110" s="15" t="str">
        <x:v>P7-10</x:v>
      </x:c>
      <x:c r="B110" s="15" t="n">
        <x:v>7</x:v>
      </x:c>
      <x:c r="C110" s="15" t="str">
        <x:v>AI</x:v>
      </x:c>
      <x:c r="D110" s="15" t="str">
        <x:v>Implement concept-connection task</x:v>
      </x:c>
      <x:c r="E110" s="15" t="str">
        <x:v>Generate bounded relationship activity.</x:v>
      </x:c>
      <x:c r="F110" s="15" t="str">
        <x:v>Create connection explanation/question linking relevant concepts using evidence.</x:v>
      </x:c>
      <x:c r="G110" s="15" t="str">
        <x:v>Engine decides when connection is needed.</x:v>
      </x:c>
      <x:c r="H110" s="15" t="str">
        <x:v>AI infra</x:v>
      </x:c>
      <x:c r="I110" s="15" t="str">
        <x:v>Golden connection cases.</x:v>
      </x:c>
      <x:c r="J110" s="15" t="str">
        <x:v>Connections are medically relevant and source-grounded.</x:v>
      </x:c>
      <x:c r="K110" s="15" t="str">
        <x:v>Eval pass.</x:v>
      </x:c>
      <x:c r="L110" s="15" t="str">
        <x:v>Must</x:v>
      </x:c>
      <x:c r="M110" s="15" t="str">
        <x:v>Not Started</x:v>
      </x:c>
      <x:c r="N110" s="15" t="str"/>
      <x:c r="O110" s="15" t="str"/>
      <x:c r="P110" s="15" t="str"/>
      <x:c r="Q110" s="15" t="str">
        <x:v>03,11</x:v>
      </x:c>
    </x:row>
    <x:row r="111">
      <x:c r="A111" s="15" t="str">
        <x:v>P7-11</x:v>
      </x:c>
      <x:c r="B111" s="15" t="n">
        <x:v>7</x:v>
      </x:c>
      <x:c r="C111" s="15" t="str">
        <x:v>AI</x:v>
      </x:c>
      <x:c r="D111" s="15" t="str">
        <x:v>Implement application-scenario task</x:v>
      </x:c>
      <x:c r="E111" s="15" t="str">
        <x:v>Generate practical scaffolded medical scenario.</x:v>
      </x:c>
      <x:c r="F111" s="15" t="str">
        <x:v>Create age-appropriate scenario focused on target concept with expected reasoning and safety/educational framing.</x:v>
      </x:c>
      <x:c r="G111" s="15" t="str">
        <x:v>Not patient-specific advice.</x:v>
      </x:c>
      <x:c r="H111" s="15" t="str">
        <x:v>AI infra</x:v>
      </x:c>
      <x:c r="I111" s="15" t="str">
        <x:v>Scenario plausibility/difficulty/support tests.</x:v>
      </x:c>
      <x:c r="J111" s="15" t="str">
        <x:v>Student can apply foundational knowledge meaningfully.</x:v>
      </x:c>
      <x:c r="K111" s="15" t="str">
        <x:v>Eval pass.</x:v>
      </x:c>
      <x:c r="L111" s="15" t="str">
        <x:v>Must</x:v>
      </x:c>
      <x:c r="M111" s="15" t="str">
        <x:v>Not Started</x:v>
      </x:c>
      <x:c r="N111" s="15" t="str"/>
      <x:c r="O111" s="15" t="str"/>
      <x:c r="P111" s="15" t="str"/>
      <x:c r="Q111" s="15" t="str">
        <x:v>03,07,15</x:v>
      </x:c>
    </x:row>
    <x:row r="112">
      <x:c r="A112" s="15" t="str">
        <x:v>P7-12</x:v>
      </x:c>
      <x:c r="B112" s="15" t="n">
        <x:v>7</x:v>
      </x:c>
      <x:c r="C112" s="15" t="str">
        <x:v>Frontend</x:v>
      </x:c>
      <x:c r="D112" s="15" t="str">
        <x:v>Build Study Mission route and ActivityRenderer</x:v>
      </x:c>
      <x:c r="E112" s="15" t="str">
        <x:v>Create core product experience.</x:v>
      </x:c>
      <x:c r="F112" s="15" t="str">
        <x:v>Implement /missions/:id, typed union renderer for explanation/retrieval/connection/application/feedback/reflection, source panel and actions.</x:v>
      </x:c>
      <x:c r="G112" s="15" t="str">
        <x:v>Frontend renders backend contract; never parses raw provider semantics.</x:v>
      </x:c>
      <x:c r="H112" s="15" t="str">
        <x:v>Mission APIs</x:v>
      </x:c>
      <x:c r="I112" s="15" t="str">
        <x:v>RTL for each activity + route E2E.</x:v>
      </x:c>
      <x:c r="J112" s="15" t="str">
        <x:v>One coherent guided flow replaces feature menu.</x:v>
      </x:c>
      <x:c r="K112" s="15" t="str">
        <x:v>Tests pass.</x:v>
      </x:c>
      <x:c r="L112" s="15" t="str">
        <x:v>Must</x:v>
      </x:c>
      <x:c r="M112" s="15" t="str">
        <x:v>Not Started</x:v>
      </x:c>
      <x:c r="N112" s="15" t="str"/>
      <x:c r="O112" s="15" t="str"/>
      <x:c r="P112" s="15" t="str"/>
      <x:c r="Q112" s="15" t="str">
        <x:v>20</x:v>
      </x:c>
    </x:row>
    <x:row r="113">
      <x:c r="A113" s="15" t="str">
        <x:v>P7-13</x:v>
      </x:c>
      <x:c r="B113" s="15" t="n">
        <x:v>7</x:v>
      </x:c>
      <x:c r="C113" s="15" t="str">
        <x:v>Frontend</x:v>
      </x:c>
      <x:c r="D113" s="15" t="str">
        <x:v>Implement mission submit/resume/conflict UX</x:v>
      </x:c>
      <x:c r="E113" s="15" t="str">
        <x:v>Make mission reliable in real browser use.</x:v>
      </x:c>
      <x:c r="F113" s="15" t="str">
        <x:v>Build useStudyMission hook, submit states, stale 409 refetch, pause/resume, timer display and source drawer.</x:v>
      </x:c>
      <x:c r="G113" s="15" t="str">
        <x:v>Critical state changes wait for backend confirmation.</x:v>
      </x:c>
      <x:c r="H113" s="15" t="str">
        <x:v>Mission APIs</x:v>
      </x:c>
      <x:c r="I113" s="15" t="str">
        <x:v>Two-tab conflict E2E; refresh/resume tests.</x:v>
      </x:c>
      <x:c r="J113" s="15" t="str">
        <x:v>Mission survives refresh and rejects double submission.</x:v>
      </x:c>
      <x:c r="K113" s="15" t="str">
        <x:v>Tests pass.</x:v>
      </x:c>
      <x:c r="L113" s="15" t="str">
        <x:v>Must</x:v>
      </x:c>
      <x:c r="M113" s="15" t="str">
        <x:v>Not Started</x:v>
      </x:c>
      <x:c r="N113" s="15" t="str"/>
      <x:c r="O113" s="15" t="str"/>
      <x:c r="P113" s="15" t="str"/>
      <x:c r="Q113" s="15" t="str">
        <x:v>20</x:v>
      </x:c>
    </x:row>
    <x:row r="114">
      <x:c r="A114" s="15" t="str">
        <x:v>P7-14</x:v>
      </x:c>
      <x:c r="B114" s="15" t="n">
        <x:v>7</x:v>
      </x:c>
      <x:c r="C114" s="15" t="str">
        <x:v>Gate</x:v>
      </x:c>
      <x:c r="D114" s="15" t="str">
        <x:v>Phase 7 First Hippocampus gate</x:v>
      </x:c>
      <x:c r="E114" s="15" t="str">
        <x:v>Prove full source-grounded Study Mission.</x:v>
      </x:c>
      <x:c r="F114" s="15" t="str">
        <x:v>From topic + processed material: start mission → understand → retrieve → connect → apply → feedback → complete/pause.</x:v>
      </x:c>
      <x:c r="G114" s="15" t="str">
        <x:v>Sources visible and provider abstracted.</x:v>
      </x:c>
      <x:c r="H114" s="15" t="str">
        <x:v>All P7</x:v>
      </x:c>
      <x:c r="I114" s="15" t="str">
        <x:v>Critical Playwright E2E + source validation + AI golden checks.</x:v>
      </x:c>
      <x:c r="J114" s="15" t="str">
        <x:v>M3 First Hippocampus works end-to-end.</x:v>
      </x:c>
      <x:c r="K114" s="15" t="str">
        <x:v>Milestone evidence recorded.</x:v>
      </x:c>
      <x:c r="L114" s="15" t="str">
        <x:v>Must</x:v>
      </x:c>
      <x:c r="M114" s="15" t="str">
        <x:v>Not Started</x:v>
      </x:c>
      <x:c r="N114" s="15" t="str"/>
      <x:c r="O114" s="15" t="str"/>
      <x:c r="P114" s="15" t="str"/>
      <x:c r="Q114" s="15" t="str">
        <x:v>26</x:v>
      </x:c>
    </x:row>
    <x:row r="115">
      <x:c r="A115" s="15" t="str">
        <x:v>P8-01</x:v>
      </x:c>
      <x:c r="B115" s="15" t="n">
        <x:v>8</x:v>
      </x:c>
      <x:c r="C115" s="15" t="str">
        <x:v>Database</x:v>
      </x:c>
      <x:c r="D115" s="15" t="str">
        <x:v>Create EvidenceEvent/LearningEvidence schema</x:v>
      </x:c>
      <x:c r="E115" s="15" t="str">
        <x:v>Persist traceable longitudinal learning evidence.</x:v>
      </x:c>
      <x:c r="F115" s="15" t="str">
        <x:v>Implement evidence_events and learning_evidence summary tables by user/topic/concept/dimension/state.</x:v>
      </x:c>
      <x:c r="G115" s="15" t="str">
        <x:v>Summary is recomputable from events.</x:v>
      </x:c>
      <x:c r="H115" s="15" t="str">
        <x:v>P7 attempts</x:v>
      </x:c>
      <x:c r="I115" s="15" t="str">
        <x:v>Migration/FK tests.</x:v>
      </x:c>
      <x:c r="J115" s="15" t="str">
        <x:v>Evidence has event provenance.</x:v>
      </x:c>
      <x:c r="K115" s="15" t="str">
        <x:v>Tests pass.</x:v>
      </x:c>
      <x:c r="L115" s="15" t="str">
        <x:v>Must</x:v>
      </x:c>
      <x:c r="M115" s="15" t="str">
        <x:v>Not Started</x:v>
      </x:c>
      <x:c r="N115" s="15" t="str"/>
      <x:c r="O115" s="15" t="str"/>
      <x:c r="P115" s="15" t="str"/>
      <x:c r="Q115" s="15" t="str">
        <x:v>18</x:v>
      </x:c>
    </x:row>
    <x:row r="116">
      <x:c r="A116" s="15" t="str">
        <x:v>P8-02</x:v>
      </x:c>
      <x:c r="B116" s="15" t="n">
        <x:v>8</x:v>
      </x:c>
      <x:c r="C116" s="15" t="str">
        <x:v>Domain</x:v>
      </x:c>
      <x:c r="D116" s="15" t="str">
        <x:v>Implement EvidenceProjector</x:v>
      </x:c>
      <x:c r="E116" s="15" t="str">
        <x:v>Convert validated attempts to broad evidence states.</x:v>
      </x:c>
      <x:c r="F116" s="15" t="str">
        <x:v>Deterministically aggregate events into STRONG/DEVELOPING/WEAK/INSUFFICIENT per dimension using approved rules.</x:v>
      </x:c>
      <x:c r="G116" s="15" t="str">
        <x:v>No LLM sets final state.</x:v>
      </x:c>
      <x:c r="H116" s="15" t="str">
        <x:v>Evidence schema</x:v>
      </x:c>
      <x:c r="I116" s="15" t="str">
        <x:v>Table-driven projection tests.</x:v>
      </x:c>
      <x:c r="J116" s="15" t="str">
        <x:v>Same events always yield same evidence.</x:v>
      </x:c>
      <x:c r="K116" s="15" t="str">
        <x:v>Suite passes.</x:v>
      </x:c>
      <x:c r="L116" s="15" t="str">
        <x:v>Must</x:v>
      </x:c>
      <x:c r="M116" s="15" t="str">
        <x:v>Not Started</x:v>
      </x:c>
      <x:c r="N116" s="15" t="str"/>
      <x:c r="O116" s="15" t="str"/>
      <x:c r="P116" s="15" t="str"/>
      <x:c r="Q116" s="15" t="str">
        <x:v>11,18</x:v>
      </x:c>
    </x:row>
    <x:row r="117">
      <x:c r="A117" s="15" t="str">
        <x:v>P8-03</x:v>
      </x:c>
      <x:c r="B117" s="15" t="n">
        <x:v>8</x:v>
      </x:c>
      <x:c r="C117" s="15" t="str">
        <x:v>Application</x:v>
      </x:c>
      <x:c r="D117" s="15" t="str">
        <x:v>Integrate attempt→evidence transaction</x:v>
      </x:c>
      <x:c r="E117" s="15" t="str">
        <x:v>Make validated activity affect future learning.</x:v>
      </x:c>
      <x:c r="F117" s="15" t="str">
        <x:v>After validated evaluation, create EvidenceEvent and update projection in short transaction with mission state.</x:v>
      </x:c>
      <x:c r="G117" s="15" t="str">
        <x:v>Invalid AI evaluation produces no evidence.</x:v>
      </x:c>
      <x:c r="H117" s="15" t="str">
        <x:v>Submit use case + projector</x:v>
      </x:c>
      <x:c r="I117" s="15" t="str">
        <x:v>Rollback/invalid-eval tests.</x:v>
      </x:c>
      <x:c r="J117" s="15" t="str">
        <x:v>Evidence updates only from legitimate activity.</x:v>
      </x:c>
      <x:c r="K117" s="15" t="str">
        <x:v>Tests pass.</x:v>
      </x:c>
      <x:c r="L117" s="15" t="str">
        <x:v>Must</x:v>
      </x:c>
      <x:c r="M117" s="15" t="str">
        <x:v>Not Started</x:v>
      </x:c>
      <x:c r="N117" s="15" t="str"/>
      <x:c r="O117" s="15" t="str"/>
      <x:c r="P117" s="15" t="str"/>
      <x:c r="Q117" s="15" t="str">
        <x:v>18,19</x:v>
      </x:c>
    </x:row>
    <x:row r="118">
      <x:c r="A118" s="15" t="str">
        <x:v>P8-04</x:v>
      </x:c>
      <x:c r="B118" s="15" t="n">
        <x:v>8</x:v>
      </x:c>
      <x:c r="C118" s="15" t="str">
        <x:v>Database</x:v>
      </x:c>
      <x:c r="D118" s="15" t="str">
        <x:v>Create misconception_evidence/reflection_evidence</x:v>
      </x:c>
      <x:c r="E118" s="15" t="str">
        <x:v>Track weak conceptual patterns without permanent labels.</x:v>
      </x:c>
      <x:c r="F118" s="15" t="str">
        <x:v>Implement schemas and links to supporting events/mission.</x:v>
      </x:c>
      <x:c r="G118" s="15" t="str">
        <x:v>Single ambiguous response defaults POSSIBLE.</x:v>
      </x:c>
      <x:c r="H118" s="15" t="str">
        <x:v>Evidence events</x:v>
      </x:c>
      <x:c r="I118" s="15" t="str">
        <x:v>Promotion/resolution FK tests.</x:v>
      </x:c>
      <x:c r="J118" s="15" t="str">
        <x:v>Misconceptions remain traceable/contextual.</x:v>
      </x:c>
      <x:c r="K118" s="15" t="str">
        <x:v>Tests pass.</x:v>
      </x:c>
      <x:c r="L118" s="15" t="str">
        <x:v>Must</x:v>
      </x:c>
      <x:c r="M118" s="15" t="str">
        <x:v>Not Started</x:v>
      </x:c>
      <x:c r="N118" s="15" t="str"/>
      <x:c r="O118" s="15" t="str"/>
      <x:c r="P118" s="15" t="str"/>
      <x:c r="Q118" s="15" t="str">
        <x:v>18</x:v>
      </x:c>
    </x:row>
    <x:row r="119">
      <x:c r="A119" s="15" t="str">
        <x:v>P8-05</x:v>
      </x:c>
      <x:c r="B119" s="15" t="n">
        <x:v>8</x:v>
      </x:c>
      <x:c r="C119" s="15" t="str">
        <x:v>Domain</x:v>
      </x:c>
      <x:c r="D119" s="15" t="str">
        <x:v>Implement misconception policy</x:v>
      </x:c>
      <x:c r="E119" s="15" t="str">
        <x:v>Promote/resolve misconception based on repeated evidence.</x:v>
      </x:c>
      <x:c r="F119" s="15" t="str">
        <x:v>Define POSSIBLE→ACTIVE→RESOLVED logic and evidence thresholds/rationale codes.</x:v>
      </x:c>
      <x:c r="G119" s="15" t="str">
        <x:v>AI may suggest candidate description, app owns status.</x:v>
      </x:c>
      <x:c r="H119" s="15" t="str">
        <x:v>Evidence projector</x:v>
      </x:c>
      <x:c r="I119" s="15" t="str">
        <x:v>Repeated-error/corrective cases.</x:v>
      </x:c>
      <x:c r="J119" s="15" t="str">
        <x:v>No permanent label from one mistake.</x:v>
      </x:c>
      <x:c r="K119" s="15" t="str">
        <x:v>Tests pass.</x:v>
      </x:c>
      <x:c r="L119" s="15" t="str">
        <x:v>Must</x:v>
      </x:c>
      <x:c r="M119" s="15" t="str">
        <x:v>Not Started</x:v>
      </x:c>
      <x:c r="N119" s="15" t="str"/>
      <x:c r="O119" s="15" t="str"/>
      <x:c r="P119" s="15" t="str"/>
      <x:c r="Q119" s="15" t="str">
        <x:v>11,18</x:v>
      </x:c>
    </x:row>
    <x:row r="120">
      <x:c r="A120" s="15" t="str">
        <x:v>P8-06</x:v>
      </x:c>
      <x:c r="B120" s="15" t="n">
        <x:v>8</x:v>
      </x:c>
      <x:c r="C120" s="15" t="str">
        <x:v>Database</x:v>
      </x:c>
      <x:c r="D120" s="15" t="str">
        <x:v>Create ReviewRecord and evidence links</x:v>
      </x:c>
      <x:c r="E120" s="15" t="str">
        <x:v>Persist explainable review queue.</x:v>
      </x:c>
      <x:c r="F120" s="15" t="str">
        <x:v>Implement review_records/review_evidence_links and optional mission linkage.</x:v>
      </x:c>
      <x:c r="G120" s="15" t="str">
        <x:v>Review reason always traceable to evidence.</x:v>
      </x:c>
      <x:c r="H120" s="15" t="str">
        <x:v>Evidence</x:v>
      </x:c>
      <x:c r="I120" s="15" t="str">
        <x:v>Migration/query tests.</x:v>
      </x:c>
      <x:c r="J120" s="15" t="str">
        <x:v>Due review items have evidence basis.</x:v>
      </x:c>
      <x:c r="K120" s="15" t="str">
        <x:v>Tests pass.</x:v>
      </x:c>
      <x:c r="L120" s="15" t="str">
        <x:v>Must</x:v>
      </x:c>
      <x:c r="M120" s="15" t="str">
        <x:v>Not Started</x:v>
      </x:c>
      <x:c r="N120" s="15" t="str"/>
      <x:c r="O120" s="15" t="str"/>
      <x:c r="P120" s="15" t="str"/>
      <x:c r="Q120" s="15" t="str">
        <x:v>18</x:v>
      </x:c>
    </x:row>
    <x:row r="121">
      <x:c r="A121" s="15" t="str">
        <x:v>P8-07</x:v>
      </x:c>
      <x:c r="B121" s="15" t="n">
        <x:v>8</x:v>
      </x:c>
      <x:c r="C121" s="15" t="str">
        <x:v>Domain</x:v>
      </x:c>
      <x:c r="D121" s="15" t="str">
        <x:v>Implement ReviewPolicy</x:v>
      </x:c>
      <x:c r="E121" s="15" t="str">
        <x:v>Determine what/why/when to revisit.</x:v>
      </x:c>
      <x:c r="F121" s="15" t="str">
        <x:v>Use LearningEvidence + events + review history + time rules to create/update eligible_at/priority/reason.</x:v>
      </x:c>
      <x:c r="G121" s="15" t="str">
        <x:v>No LLM chooses date.</x:v>
      </x:c>
      <x:c r="H121" s="15" t="str">
        <x:v>Review schema</x:v>
      </x:c>
      <x:c r="I121" s="15" t="str">
        <x:v>Fixed-clock policy tests.</x:v>
      </x:c>
      <x:c r="J121" s="15" t="str">
        <x:v>Weak/decaying evidence creates appropriate review.</x:v>
      </x:c>
      <x:c r="K121" s="15" t="str">
        <x:v>Tests pass.</x:v>
      </x:c>
      <x:c r="L121" s="15" t="str">
        <x:v>Must</x:v>
      </x:c>
      <x:c r="M121" s="15" t="str">
        <x:v>Not Started</x:v>
      </x:c>
      <x:c r="N121" s="15" t="str"/>
      <x:c r="O121" s="15" t="str"/>
      <x:c r="P121" s="15" t="str"/>
      <x:c r="Q121" s="15" t="str">
        <x:v>03,11,18</x:v>
      </x:c>
    </x:row>
    <x:row r="122">
      <x:c r="A122" s="15" t="str">
        <x:v>P8-08</x:v>
      </x:c>
      <x:c r="B122" s="15" t="n">
        <x:v>8</x:v>
      </x:c>
      <x:c r="C122" s="15" t="str">
        <x:v>Application</x:v>
      </x:c>
      <x:c r="D122" s="15" t="str">
        <x:v>Implement review queue/use cases</x:v>
      </x:c>
      <x:c r="E122" s="15" t="str">
        <x:v>Expose due reviews and start review mission.</x:v>
      </x:c>
      <x:c r="F122" s="15" t="str">
        <x:v>List available reviews by priority/reason; start a normal StudyMission linked to review record; complete updates evidence/review state.</x:v>
      </x:c>
      <x:c r="G122" s="15" t="str">
        <x:v>Review uses same engine and source grounding.</x:v>
      </x:c>
      <x:c r="H122" s="15" t="str">
        <x:v>Review policy + missions</x:v>
      </x:c>
      <x:c r="I122" s="15" t="str">
        <x:v>Use-case/integration tests.</x:v>
      </x:c>
      <x:c r="J122" s="15" t="str">
        <x:v>Review becomes part of learning loop, not separate quiz tool.</x:v>
      </x:c>
      <x:c r="K122" s="15" t="str">
        <x:v>Tests pass.</x:v>
      </x:c>
      <x:c r="L122" s="15" t="str">
        <x:v>Must</x:v>
      </x:c>
      <x:c r="M122" s="15" t="str">
        <x:v>Not Started</x:v>
      </x:c>
      <x:c r="N122" s="15" t="str"/>
      <x:c r="O122" s="15" t="str"/>
      <x:c r="P122" s="15" t="str"/>
      <x:c r="Q122" s="15" t="str">
        <x:v>06,19</x:v>
      </x:c>
    </x:row>
    <x:row r="123">
      <x:c r="A123" s="15" t="str">
        <x:v>P8-09</x:v>
      </x:c>
      <x:c r="B123" s="15" t="n">
        <x:v>8</x:v>
      </x:c>
      <x:c r="C123" s="15" t="str">
        <x:v>Frontend</x:v>
      </x:c>
      <x:c r="D123" s="15" t="str">
        <x:v>Build Review route</x:v>
      </x:c>
      <x:c r="E123" s="15" t="str">
        <x:v>Show what to revisit and why.</x:v>
      </x:c>
      <x:c r="F123" s="15" t="str">
        <x:v>Display topic/concept, reason, priority/availability and CTA to start review mission.</x:v>
      </x:c>
      <x:c r="G123" s="15" t="str">
        <x:v>Frontend never calculates schedule.</x:v>
      </x:c>
      <x:c r="H123" s="15" t="str">
        <x:v>Review API</x:v>
      </x:c>
      <x:c r="I123" s="15" t="str">
        <x:v>RTL/E2E due/no-due/completed.</x:v>
      </x:c>
      <x:c r="J123" s="15" t="str">
        <x:v>Student understands reason for review.</x:v>
      </x:c>
      <x:c r="K123" s="15" t="str">
        <x:v>Tests pass.</x:v>
      </x:c>
      <x:c r="L123" s="15" t="str">
        <x:v>Must</x:v>
      </x:c>
      <x:c r="M123" s="15" t="str">
        <x:v>Not Started</x:v>
      </x:c>
      <x:c r="N123" s="15" t="str"/>
      <x:c r="O123" s="15" t="str"/>
      <x:c r="P123" s="15" t="str"/>
      <x:c r="Q123" s="15" t="str">
        <x:v>20</x:v>
      </x:c>
    </x:row>
    <x:row r="124">
      <x:c r="A124" s="15" t="str">
        <x:v>P8-10</x:v>
      </x:c>
      <x:c r="B124" s="15" t="n">
        <x:v>8</x:v>
      </x:c>
      <x:c r="C124" s="15" t="str">
        <x:v>Frontend</x:v>
      </x:c>
      <x:c r="D124" s="15" t="str">
        <x:v>Build Progress evidence UI</x:v>
      </x:c>
      <x:c r="E124" s="15" t="str">
        <x:v>Show multidimensional evidence without fake percentages.</x:v>
      </x:c>
      <x:c r="F124" s="15" t="str">
        <x:v>Render Retrieval/Understanding/Connection/Application/Review Retention as broad states with recent context.</x:v>
      </x:c>
      <x:c r="G124" s="15" t="str">
        <x:v>No mastery percentage unless future evidence supports it.</x:v>
      </x:c>
      <x:c r="H124" s="15" t="str">
        <x:v>Progress API</x:v>
      </x:c>
      <x:c r="I124" s="15" t="str">
        <x:v>Component/accessibility tests.</x:v>
      </x:c>
      <x:c r="J124" s="15" t="str">
        <x:v>Progress is clear and non-misleading.</x:v>
      </x:c>
      <x:c r="K124" s="15" t="str">
        <x:v>Tests pass.</x:v>
      </x:c>
      <x:c r="L124" s="15" t="str">
        <x:v>Must</x:v>
      </x:c>
      <x:c r="M124" s="15" t="str">
        <x:v>Not Started</x:v>
      </x:c>
      <x:c r="N124" s="15" t="str"/>
      <x:c r="O124" s="15" t="str"/>
      <x:c r="P124" s="15" t="str"/>
      <x:c r="Q124" s="15" t="str">
        <x:v>20</x:v>
      </x:c>
    </x:row>
    <x:row r="125">
      <x:c r="A125" s="15" t="str">
        <x:v>P8-11</x:v>
      </x:c>
      <x:c r="B125" s="15" t="n">
        <x:v>8</x:v>
      </x:c>
      <x:c r="C125" s="15" t="str">
        <x:v>Testing</x:v>
      </x:c>
      <x:c r="D125" s="15" t="str">
        <x:v>Create longitudinal learning regression scenarios</x:v>
      </x:c>
      <x:c r="E125" s="15" t="str">
        <x:v>Prove previous evidence affects future missions.</x:v>
      </x:c>
      <x:c r="F125" s="15" t="str">
        <x:v>Simulate mission attempts → evidence → review → later mission and assert engine action changes.</x:v>
      </x:c>
      <x:c r="G125" s="15" t="str">
        <x:v>Use fixed clock and fake AI.</x:v>
      </x:c>
      <x:c r="H125" s="15" t="str">
        <x:v>All P8</x:v>
      </x:c>
      <x:c r="I125" s="15" t="str">
        <x:v>End-to-end domain/integration scenarios.</x:v>
      </x:c>
      <x:c r="J125" s="15" t="str">
        <x:v>Hippocampus adapts across sessions.</x:v>
      </x:c>
      <x:c r="K125" s="15" t="str">
        <x:v>Suite green.</x:v>
      </x:c>
      <x:c r="L125" s="15" t="str">
        <x:v>Must</x:v>
      </x:c>
      <x:c r="M125" s="15" t="str">
        <x:v>Not Started</x:v>
      </x:c>
      <x:c r="N125" s="15" t="str"/>
      <x:c r="O125" s="15" t="str"/>
      <x:c r="P125" s="15" t="str"/>
      <x:c r="Q125" s="15" t="str">
        <x:v>25</x:v>
      </x:c>
    </x:row>
    <x:row r="126">
      <x:c r="A126" s="15" t="str">
        <x:v>P8-12</x:v>
      </x:c>
      <x:c r="B126" s="15" t="n">
        <x:v>8</x:v>
      </x:c>
      <x:c r="C126" s="15" t="str">
        <x:v>Gate</x:v>
      </x:c>
      <x:c r="D126" s="15" t="str">
        <x:v>Phase 8 Adaptive Hippocampus gate</x:v>
      </x:c>
      <x:c r="E126" s="15" t="str">
        <x:v>Prove longitudinal loop.</x:v>
      </x:c>
      <x:c r="F126" s="15" t="str">
        <x:v>Complete weak application attempt, observe evidence/review, run corrective review, verify later LearningEngine context/action changes.</x:v>
      </x:c>
      <x:c r="G126" s="15" t="str">
        <x:v>All evidence traceable.</x:v>
      </x:c>
      <x:c r="H126" s="15" t="str">
        <x:v>All P8</x:v>
      </x:c>
      <x:c r="I126" s="15" t="str">
        <x:v>Integrated scenario + UI E2E.</x:v>
      </x:c>
      <x:c r="J126" s="15" t="str">
        <x:v>M4 Adaptive Hippocampus works.</x:v>
      </x:c>
      <x:c r="K126" s="15" t="str">
        <x:v>Milestone evidence recorded.</x:v>
      </x:c>
      <x:c r="L126" s="15" t="str">
        <x:v>Must</x:v>
      </x:c>
      <x:c r="M126" s="15" t="str">
        <x:v>Not Started</x:v>
      </x:c>
      <x:c r="N126" s="15" t="str"/>
      <x:c r="O126" s="15" t="str"/>
      <x:c r="P126" s="15" t="str"/>
      <x:c r="Q126" s="15" t="str">
        <x:v>26</x:v>
      </x:c>
    </x:row>
    <x:row r="127">
      <x:c r="A127" s="15" t="str">
        <x:v>P9-01</x:v>
      </x:c>
      <x:c r="B127" s="15" t="n">
        <x:v>9</x:v>
      </x:c>
      <x:c r="C127" s="15" t="str">
        <x:v>RAG</x:v>
      </x:c>
      <x:c r="D127" s="15" t="str">
        <x:v>Add visual-aware retrieval</x:v>
      </x:c>
      <x:c r="E127" s="15" t="str">
        <x:v>Allow source images to participate in EvidencePackage.</x:v>
      </x:c>
      <x:c r="F127" s="15" t="str">
        <x:v>Retrieve linked VisualAssets using chunk/node/caption/nearby-text relevance and task need.</x:v>
      </x:c>
      <x:c r="G127" s="15" t="str">
        <x:v>Text grounding still controls source scope.</x:v>
      </x:c>
      <x:c r="H127" s="15" t="str">
        <x:v>P3 visuals + P4 RAG</x:v>
      </x:c>
      <x:c r="I127" s="15" t="str">
        <x:v>Golden anatomy visual queries.</x:v>
      </x:c>
      <x:c r="J127" s="15" t="str">
        <x:v>Relevant source figure accompanies evidence.</x:v>
      </x:c>
      <x:c r="K127" s="15" t="str">
        <x:v>Visual retrieval tests pass.</x:v>
      </x:c>
      <x:c r="L127" s="15" t="str">
        <x:v>Must</x:v>
      </x:c>
      <x:c r="M127" s="15" t="str">
        <x:v>Not Started</x:v>
      </x:c>
      <x:c r="N127" s="15" t="str"/>
      <x:c r="O127" s="15" t="str"/>
      <x:c r="P127" s="15" t="str"/>
      <x:c r="Q127" s="15" t="str">
        <x:v>13,14</x:v>
      </x:c>
    </x:row>
    <x:row r="128">
      <x:c r="A128" s="15" t="str">
        <x:v>P9-02</x:v>
      </x:c>
      <x:c r="B128" s="15" t="n">
        <x:v>9</x:v>
      </x:c>
      <x:c r="C128" s="15" t="str">
        <x:v>AI</x:v>
      </x:c>
      <x:c r="D128" s="15" t="str">
        <x:v>Enable validated multimodal provider route</x:v>
      </x:c>
      <x:c r="E128" s="15" t="str">
        <x:v>Use image understanding only where evaluation proves capability.</x:v>
      </x:c>
      <x:c r="F128" s="15" t="str">
        <x:v>Add visual task support matrix to ProviderRouter; pass approved source image + bounded context to capable model.</x:v>
      </x:c>
      <x:c r="G128" s="15" t="str">
        <x:v>Fallback only to provider supporting same multimodal contract.</x:v>
      </x:c>
      <x:c r="H128" s="15" t="str">
        <x:v>P5 providers</x:v>
      </x:c>
      <x:c r="I128" s="15" t="str">
        <x:v>Provider capability/unsupported fallback tests.</x:v>
      </x:c>
      <x:c r="J128" s="15" t="str">
        <x:v>Visual task routes safely.</x:v>
      </x:c>
      <x:c r="K128" s="15" t="str">
        <x:v>Tests pass.</x:v>
      </x:c>
      <x:c r="L128" s="15" t="str">
        <x:v>Must</x:v>
      </x:c>
      <x:c r="M128" s="15" t="str">
        <x:v>Not Started</x:v>
      </x:c>
      <x:c r="N128" s="15" t="str"/>
      <x:c r="O128" s="15" t="str"/>
      <x:c r="P128" s="15" t="str"/>
      <x:c r="Q128" s="15" t="str">
        <x:v>10,15</x:v>
      </x:c>
    </x:row>
    <x:row r="129">
      <x:c r="A129" s="15" t="str">
        <x:v>P9-03</x:v>
      </x:c>
      <x:c r="B129" s="15" t="n">
        <x:v>9</x:v>
      </x:c>
      <x:c r="C129" s="15" t="str">
        <x:v>AI</x:v>
      </x:c>
      <x:c r="D129" s="15" t="str">
        <x:v>Implement visual activity task contract</x:v>
      </x:c>
      <x:c r="E129" s="15" t="str">
        <x:v>Generate/assess image-based learning activity.</x:v>
      </x:c>
      <x:c r="F129" s="15" t="str">
        <x:v>Create typed visual-identification/interpretation request/result with source visual reference and expected concept.</x:v>
      </x:c>
      <x:c r="G129" s="15" t="str">
        <x:v>Original image remains authoritative asset.</x:v>
      </x:c>
      <x:c r="H129" s="15" t="str">
        <x:v>Visual RAG + multimodal provider</x:v>
      </x:c>
      <x:c r="I129" s="15" t="str">
        <x:v>Golden anatomy/image cases.</x:v>
      </x:c>
      <x:c r="J129" s="15" t="str">
        <x:v>Activity refers to actual source visual without fabricated labels.</x:v>
      </x:c>
      <x:c r="K129" s="15" t="str">
        <x:v>Eval pass.</x:v>
      </x:c>
      <x:c r="L129" s="15" t="str">
        <x:v>Must</x:v>
      </x:c>
      <x:c r="M129" s="15" t="str">
        <x:v>Not Started</x:v>
      </x:c>
      <x:c r="N129" s="15" t="str"/>
      <x:c r="O129" s="15" t="str"/>
      <x:c r="P129" s="15" t="str"/>
      <x:c r="Q129" s="15" t="str">
        <x:v>07,12</x:v>
      </x:c>
    </x:row>
    <x:row r="130">
      <x:c r="A130" s="15" t="str">
        <x:v>P9-04</x:v>
      </x:c>
      <x:c r="B130" s="15" t="n">
        <x:v>9</x:v>
      </x:c>
      <x:c r="C130" s="15" t="str">
        <x:v>Frontend</x:v>
      </x:c>
      <x:c r="D130" s="15" t="str">
        <x:v>Build medical image viewer</x:v>
      </x:c>
      <x:c r="E130" s="15" t="str">
        <x:v>Make source visuals usable for study.</x:v>
      </x:c>
      <x:c r="F130" s="15" t="str">
        <x:v>Add zoom, pan, accessible lightbox/drawer, caption/source controls, responsive behavior.</x:v>
      </x:c>
      <x:c r="G130" s="15" t="str">
        <x:v>No AI-generated replacement needed for source display.</x:v>
      </x:c>
      <x:c r="H130" s="15" t="str">
        <x:v>Visual assets</x:v>
      </x:c>
      <x:c r="I130" s="15" t="str">
        <x:v>Keyboard/touch/accessibility tests.</x:v>
      </x:c>
      <x:c r="J130" s="15" t="str">
        <x:v>Student can inspect figures on desktop/mobile.</x:v>
      </x:c>
      <x:c r="K130" s="15" t="str">
        <x:v>Tests pass.</x:v>
      </x:c>
      <x:c r="L130" s="15" t="str">
        <x:v>Must</x:v>
      </x:c>
      <x:c r="M130" s="15" t="str">
        <x:v>Not Started</x:v>
      </x:c>
      <x:c r="N130" s="15" t="str"/>
      <x:c r="O130" s="15" t="str"/>
      <x:c r="P130" s="15" t="str"/>
      <x:c r="Q130" s="15" t="str">
        <x:v>20</x:v>
      </x:c>
    </x:row>
    <x:row r="131">
      <x:c r="A131" s="15" t="str">
        <x:v>P9-05</x:v>
      </x:c>
      <x:c r="B131" s="15" t="n">
        <x:v>9</x:v>
      </x:c>
      <x:c r="C131" s="15" t="str">
        <x:v>Frontend</x:v>
      </x:c>
      <x:c r="D131" s="15" t="str">
        <x:v>Build VisualActivity component</x:v>
      </x:c>
      <x:c r="E131" s="15" t="str">
        <x:v>Integrate visuals into Study Missions.</x:v>
      </x:c>
      <x:c r="F131" s="15" t="str">
        <x:v>Render original source visual, prompt, response controls, feedback and citation.</x:v>
      </x:c>
      <x:c r="G131" s="15" t="str">
        <x:v>Activity remains within mission flow, not separate tool.</x:v>
      </x:c>
      <x:c r="H131" s="15" t="str">
        <x:v>Visual task API</x:v>
      </x:c>
      <x:c r="I131" s="15" t="str">
        <x:v>RTL/E2E visual mission.</x:v>
      </x:c>
      <x:c r="J131" s="15" t="str">
        <x:v>Image becomes active learning evidence.</x:v>
      </x:c>
      <x:c r="K131" s="15" t="str">
        <x:v>Tests pass.</x:v>
      </x:c>
      <x:c r="L131" s="15" t="str">
        <x:v>Must</x:v>
      </x:c>
      <x:c r="M131" s="15" t="str">
        <x:v>Not Started</x:v>
      </x:c>
      <x:c r="N131" s="15" t="str"/>
      <x:c r="O131" s="15" t="str"/>
      <x:c r="P131" s="15" t="str"/>
      <x:c r="Q131" s="15" t="str">
        <x:v>20</x:v>
      </x:c>
    </x:row>
    <x:row r="132">
      <x:c r="A132" s="15" t="str">
        <x:v>P9-06</x:v>
      </x:c>
      <x:c r="B132" s="15" t="n">
        <x:v>9</x:v>
      </x:c>
      <x:c r="C132" s="15" t="str">
        <x:v>Progress</x:v>
      </x:c>
      <x:c r="D132" s="15" t="str">
        <x:v>Add VISUAL_IDENTIFICATION evidence dimension path</x:v>
      </x:c>
      <x:c r="E132" s="15" t="str">
        <x:v>Track visual task performance appropriately.</x:v>
      </x:c>
      <x:c r="F132" s="15" t="str">
        <x:v>Generate EvidenceEvents for validated visual activities and project dimension separately.</x:v>
      </x:c>
      <x:c r="G132" s="15" t="str">
        <x:v>No visual-learner profiling.</x:v>
      </x:c>
      <x:c r="H132" s="15" t="str">
        <x:v>Visual activity + evidence</x:v>
      </x:c>
      <x:c r="I132" s="15" t="str">
        <x:v>Projection tests.</x:v>
      </x:c>
      <x:c r="J132" s="15" t="str">
        <x:v>Visual evidence influences relevant future activity.</x:v>
      </x:c>
      <x:c r="K132" s="15" t="str">
        <x:v>Tests pass.</x:v>
      </x:c>
      <x:c r="L132" s="15" t="str">
        <x:v>Should</x:v>
      </x:c>
      <x:c r="M132" s="15" t="str">
        <x:v>Not Started</x:v>
      </x:c>
      <x:c r="N132" s="15" t="str"/>
      <x:c r="O132" s="15" t="str"/>
      <x:c r="P132" s="15" t="str"/>
      <x:c r="Q132" s="15" t="str">
        <x:v>18</x:v>
      </x:c>
    </x:row>
    <x:row r="133">
      <x:c r="A133" s="15" t="str">
        <x:v>P9-07</x:v>
      </x:c>
      <x:c r="B133" s="15" t="n">
        <x:v>9</x:v>
      </x:c>
      <x:c r="C133" s="15" t="str">
        <x:v>Ingestion</x:v>
      </x:c>
      <x:c r="D133" s="15" t="str">
        <x:v>Handle visual-unavailable/limited capability</x:v>
      </x:c>
      <x:c r="E133" s="15" t="str">
        <x:v>Prevent invalid visual activities.</x:v>
      </x:c>
      <x:c r="F133" s="15" t="str">
        <x:v>Expose material_version capability metadata for visuals and failed extraction; engine respects it.</x:v>
      </x:c>
      <x:c r="G133" s="15" t="str">
        <x:v>P3 states + P6 source policy</x:v>
      </x:c>
      <x:c r="H133" s="15" t="str">
        <x:v>No-visual/failed-image cases.</x:v>
      </x:c>
      <x:c r="I133" s="15" t="str">
        <x:v>Mission avoids visual task when source cannot support it.</x:v>
      </x:c>
      <x:c r="J133" s="15" t="str">
        <x:v>Tests pass.</x:v>
      </x:c>
      <x:c r="K133" s="15" t="str">
        <x:v>Must</x:v>
      </x:c>
      <x:c r="L133" s="15" t="str">
        <x:v>21</x:v>
      </x:c>
      <x:c r="M133" s="15" t="str">
        <x:v>Not Started</x:v>
      </x:c>
      <x:c r="N133" s="15" t="str"/>
      <x:c r="O133" s="15" t="str"/>
      <x:c r="P133" s="15" t="str"/>
      <x:c r="Q133" s="15" t="str"/>
    </x:row>
    <x:row r="134">
      <x:c r="A134" s="15" t="str">
        <x:v>P9-08</x:v>
      </x:c>
      <x:c r="B134" s="15" t="n">
        <x:v>9</x:v>
      </x:c>
      <x:c r="C134" s="15" t="str">
        <x:v>Testing</x:v>
      </x:c>
      <x:c r="D134" s="15" t="str">
        <x:v>Create anatomy visual golden fixture set</x:v>
      </x:c>
      <x:c r="E134" s="15" t="str">
        <x:v>Establish reliable multimodal validation.</x:v>
      </x:c>
      <x:c r="F134" s="15" t="str">
        <x:v>Use licensed/synthetic anatomy diagrams with known source labels/relationships and expected retrieval/task outputs.</x:v>
      </x:c>
      <x:c r="G134" s="15" t="str">
        <x:v>No real patient data.</x:v>
      </x:c>
      <x:c r="H134" s="15" t="str">
        <x:v>Visual pipeline</x:v>
      </x:c>
      <x:c r="I134" s="15" t="str">
        <x:v>Retrieval + AI + frontend visual tests.</x:v>
      </x:c>
      <x:c r="J134" s="15" t="str">
        <x:v>Visual quality is measurable.</x:v>
      </x:c>
      <x:c r="K134" s="15" t="str">
        <x:v>Fixtures committed and passing.</x:v>
      </x:c>
      <x:c r="L134" s="15" t="str">
        <x:v>Must</x:v>
      </x:c>
      <x:c r="M134" s="15" t="str">
        <x:v>Not Started</x:v>
      </x:c>
      <x:c r="N134" s="15" t="str"/>
      <x:c r="O134" s="15" t="str"/>
      <x:c r="P134" s="15" t="str"/>
      <x:c r="Q134" s="15" t="str">
        <x:v>25</x:v>
      </x:c>
    </x:row>
    <x:row r="135">
      <x:c r="A135" s="15" t="str">
        <x:v>P9-09</x:v>
      </x:c>
      <x:c r="B135" s="15" t="n">
        <x:v>9</x:v>
      </x:c>
      <x:c r="C135" s="15" t="str">
        <x:v>Security</x:v>
      </x:c>
      <x:c r="D135" s="15" t="str">
        <x:v>Test visual/source authorization</x:v>
      </x:c>
      <x:c r="E135" s="15" t="str">
        <x:v>Prevent image leakage.</x:v>
      </x:c>
      <x:c r="F135" s="15" t="str">
        <x:v>Attempt direct visual/source-reference access across users and expired signed URLs if used.</x:v>
      </x:c>
      <x:c r="G135" s="15" t="str">
        <x:v>Authorization rechecked on every source access.</x:v>
      </x:c>
      <x:c r="H135" s="15" t="str">
        <x:v>Visual endpoints</x:v>
      </x:c>
      <x:c r="I135" s="15" t="str">
        <x:v>IDOR/signed URL tests.</x:v>
      </x:c>
      <x:c r="J135" s="15" t="str">
        <x:v>0 cross-user image access.</x:v>
      </x:c>
      <x:c r="K135" s="15" t="str">
        <x:v>Tests pass.</x:v>
      </x:c>
      <x:c r="L135" s="15" t="str">
        <x:v>Must</x:v>
      </x:c>
      <x:c r="M135" s="15" t="str">
        <x:v>Not Started</x:v>
      </x:c>
      <x:c r="N135" s="15" t="str"/>
      <x:c r="O135" s="15" t="str"/>
      <x:c r="P135" s="15" t="str"/>
      <x:c r="Q135" s="15" t="str">
        <x:v>22,25</x:v>
      </x:c>
    </x:row>
    <x:row r="136">
      <x:c r="A136" s="15" t="str">
        <x:v>P9-10</x:v>
      </x:c>
      <x:c r="B136" s="15" t="n">
        <x:v>9</x:v>
      </x:c>
      <x:c r="C136" s="15" t="str">
        <x:v>Gate</x:v>
      </x:c>
      <x:c r="D136" s="15" t="str">
        <x:v>Phase 9 multimodal gate</x:v>
      </x:c>
      <x:c r="E136" s="15" t="str">
        <x:v>Prove anatomy-style visual learning end-to-end.</x:v>
      </x:c>
      <x:c r="F136" s="15" t="str">
        <x:v>Upload mixed PDF → extract image → retrieve visual → Study Mission identification → feedback/evidence.</x:v>
      </x:c>
      <x:c r="G136" s="15" t="str">
        <x:v>All P9</x:v>
      </x:c>
      <x:c r="H136" s="15" t="str">
        <x:v>Full E2E and golden evaluation.</x:v>
      </x:c>
      <x:c r="I136" s="15" t="str">
        <x:v>Visuals function as learning evidence, not decoration.</x:v>
      </x:c>
      <x:c r="J136" s="15" t="str">
        <x:v>Gate evidence recorded.</x:v>
      </x:c>
      <x:c r="K136" s="15" t="str">
        <x:v>Must</x:v>
      </x:c>
      <x:c r="L136" s="15" t="str">
        <x:v>26</x:v>
      </x:c>
      <x:c r="M136" s="15" t="str">
        <x:v>Not Started</x:v>
      </x:c>
      <x:c r="N136" s="15" t="str"/>
      <x:c r="O136" s="15" t="str"/>
      <x:c r="P136" s="15" t="str"/>
      <x:c r="Q136" s="15" t="str"/>
    </x:row>
    <x:row r="137">
      <x:c r="A137" s="15" t="str">
        <x:v>P10-01</x:v>
      </x:c>
      <x:c r="B137" s="15" t="n">
        <x:v>10</x:v>
      </x:c>
      <x:c r="C137" s="15" t="str">
        <x:v>Frontend</x:v>
      </x:c>
      <x:c r="D137" s="15" t="str">
        <x:v>Complete Home dashboard</x:v>
      </x:c>
      <x:c r="E137" s="15" t="str">
        <x:v>Answer what should I study now.</x:v>
      </x:c>
      <x:c r="F137" s="15" t="str">
        <x:v>Implement continue mission, due reviews, recent topics/materials, quick start with compact hierarchy.</x:v>
      </x:c>
      <x:c r="G137" s="15" t="str">
        <x:v>Avoid analytics overload.</x:v>
      </x:c>
      <x:c r="H137" s="15" t="str">
        <x:v>P7-P8 APIs</x:v>
      </x:c>
      <x:c r="I137" s="15" t="str">
        <x:v>E2E empty/active/review states.</x:v>
      </x:c>
      <x:c r="J137" s="15" t="str">
        <x:v>Home leads student into next useful action.</x:v>
      </x:c>
      <x:c r="K137" s="15" t="str">
        <x:v>Tests pass.</x:v>
      </x:c>
      <x:c r="L137" s="15" t="str">
        <x:v>Must</x:v>
      </x:c>
      <x:c r="M137" s="15" t="str">
        <x:v>Not Started</x:v>
      </x:c>
      <x:c r="N137" s="15" t="str"/>
      <x:c r="O137" s="15" t="str"/>
      <x:c r="P137" s="15" t="str"/>
      <x:c r="Q137" s="15" t="str">
        <x:v>20</x:v>
      </x:c>
    </x:row>
    <x:row r="138">
      <x:c r="A138" s="15" t="str">
        <x:v>P10-02</x:v>
      </x:c>
      <x:c r="B138" s="15" t="n">
        <x:v>10</x:v>
      </x:c>
      <x:c r="C138" s="15" t="str">
        <x:v>Frontend</x:v>
      </x:c>
      <x:c r="D138" s="15" t="str">
        <x:v>Complete Topic workspace</x:v>
      </x:c>
      <x:c r="E138" s="15" t="str">
        <x:v>Unify material/evidence/mission entry.</x:v>
      </x:c>
      <x:c r="F138" s="15" t="str">
        <x:v>Show topic, relevant material sections, recent evidence, review state, Start/Resume Mission.</x:v>
      </x:c>
      <x:c r="G138" s="15" t="str">
        <x:v>No feature-tool menu.</x:v>
      </x:c>
      <x:c r="H138" s="15" t="str">
        <x:v>P2/P7/P8</x:v>
      </x:c>
      <x:c r="I138" s="15" t="str">
        <x:v>Component/E2E.</x:v>
      </x:c>
      <x:c r="J138" s="15" t="str">
        <x:v>Topic screen is clear learning launch point.</x:v>
      </x:c>
      <x:c r="K138" s="15" t="str">
        <x:v>Tests pass.</x:v>
      </x:c>
      <x:c r="L138" s="15" t="str">
        <x:v>Must</x:v>
      </x:c>
      <x:c r="M138" s="15" t="str">
        <x:v>Not Started</x:v>
      </x:c>
      <x:c r="N138" s="15" t="str"/>
      <x:c r="O138" s="15" t="str"/>
      <x:c r="P138" s="15" t="str"/>
      <x:c r="Q138" s="15" t="str">
        <x:v>20</x:v>
      </x:c>
    </x:row>
    <x:row r="139">
      <x:c r="A139" s="15" t="str">
        <x:v>P10-03</x:v>
      </x:c>
      <x:c r="B139" s="15" t="n">
        <x:v>10</x:v>
      </x:c>
      <x:c r="C139" s="15" t="str">
        <x:v>Frontend</x:v>
      </x:c>
      <x:c r="D139" s="15" t="str">
        <x:v>Complete Material detail/source browser</x:v>
      </x:c>
      <x:c r="E139" s="15" t="str">
        <x:v>Let student inspect detected structure and source limitations.</x:v>
      </x:c>
      <x:c r="F139" s="15" t="str">
        <x:v>Add hierarchy tree, processing capabilities, page/source opening, topic mapping/selection.</x:v>
      </x:c>
      <x:c r="G139" s="15" t="str">
        <x:v>Large hierarchy lazy-expands.</x:v>
      </x:c>
      <x:c r="H139" s="15" t="str">
        <x:v>P3/P4</x:v>
      </x:c>
      <x:c r="I139" s="15" t="str">
        <x:v>Large tree performance + E2E.</x:v>
      </x:c>
      <x:c r="J139" s="15" t="str">
        <x:v>Student can understand what material was processed.</x:v>
      </x:c>
      <x:c r="K139" s="15" t="str">
        <x:v>Tests pass.</x:v>
      </x:c>
      <x:c r="L139" s="15" t="str">
        <x:v>Must</x:v>
      </x:c>
      <x:c r="M139" s="15" t="str">
        <x:v>Not Started</x:v>
      </x:c>
      <x:c r="N139" s="15" t="str"/>
      <x:c r="O139" s="15" t="str"/>
      <x:c r="P139" s="15" t="str"/>
      <x:c r="Q139" s="15" t="str">
        <x:v>20</x:v>
      </x:c>
    </x:row>
    <x:row r="140">
      <x:c r="A140" s="15" t="str">
        <x:v>P10-04</x:v>
      </x:c>
      <x:c r="B140" s="15" t="n">
        <x:v>10</x:v>
      </x:c>
      <x:c r="C140" s="15" t="str">
        <x:v>Frontend</x:v>
      </x:c>
      <x:c r="D140" s="15" t="str">
        <x:v>Complete mission completion summary</x:v>
      </x:c>
      <x:c r="E140" s="15" t="str">
        <x:v>Close loop without fake mastery.</x:v>
      </x:c>
      <x:c r="F140" s="15" t="str">
        <x:v>Show practiced objectives, broad evidence, weak areas, review expectation and next actions.</x:v>
      </x:c>
      <x:c r="G140" s="15" t="str">
        <x:v>Completion is not mastery.</x:v>
      </x:c>
      <x:c r="H140" s="15" t="str">
        <x:v>P8</x:v>
      </x:c>
      <x:c r="I140" s="15" t="str">
        <x:v>Component/content tests.</x:v>
      </x:c>
      <x:c r="J140" s="15" t="str">
        <x:v>Student gets meaningful recap.</x:v>
      </x:c>
      <x:c r="K140" s="15" t="str">
        <x:v>Tests pass.</x:v>
      </x:c>
      <x:c r="L140" s="15" t="str">
        <x:v>Must</x:v>
      </x:c>
      <x:c r="M140" s="15" t="str">
        <x:v>Not Started</x:v>
      </x:c>
      <x:c r="N140" s="15" t="str"/>
      <x:c r="O140" s="15" t="str"/>
      <x:c r="P140" s="15" t="str"/>
      <x:c r="Q140" s="15" t="str">
        <x:v>20</x:v>
      </x:c>
    </x:row>
    <x:row r="141">
      <x:c r="A141" s="15" t="str">
        <x:v>P10-05</x:v>
      </x:c>
      <x:c r="B141" s="15" t="n">
        <x:v>10</x:v>
      </x:c>
      <x:c r="C141" s="15" t="str">
        <x:v>Frontend</x:v>
      </x:c>
      <x:c r="D141" s="15" t="str">
        <x:v>Implement responsive/tablet/mobile polish</x:v>
      </x:c>
      <x:c r="E141" s="15" t="str">
        <x:v>Ensure med-student usability beyond desktop.</x:v>
      </x:c>
      <x:c r="F141" s="15" t="str">
        <x:v>Reflow nav/source panel, readable widths, touch targets, image viewer and forms at 320px+.</x:v>
      </x:c>
      <x:c r="G141" s="15" t="str">
        <x:v>No page-level horizontal overflow.</x:v>
      </x:c>
      <x:c r="H141" s="15" t="str">
        <x:v>All UI</x:v>
      </x:c>
      <x:c r="I141" s="15" t="str">
        <x:v>Viewport matrix Playwright tests.</x:v>
      </x:c>
      <x:c r="J141" s="15" t="str">
        <x:v>Core flows usable on laptop/tablet/mobile.</x:v>
      </x:c>
      <x:c r="K141" s="15" t="str">
        <x:v>Tests pass.</x:v>
      </x:c>
      <x:c r="L141" s="15" t="str">
        <x:v>Must</x:v>
      </x:c>
      <x:c r="M141" s="15" t="str">
        <x:v>Not Started</x:v>
      </x:c>
      <x:c r="N141" s="15" t="str"/>
      <x:c r="O141" s="15" t="str"/>
      <x:c r="P141" s="15" t="str"/>
      <x:c r="Q141" s="15" t="str">
        <x:v>20</x:v>
      </x:c>
    </x:row>
    <x:row r="142">
      <x:c r="A142" s="15" t="str">
        <x:v>P10-06</x:v>
      </x:c>
      <x:c r="B142" s="15" t="n">
        <x:v>10</x:v>
      </x:c>
      <x:c r="C142" s="15" t="str">
        <x:v>Accessibility</x:v>
      </x:c>
      <x:c r="D142" s="15" t="str">
        <x:v>Run WCAG 2.2 AA core-flow remediation</x:v>
      </x:c>
      <x:c r="E142" s="15" t="str">
        <x:v>Make core experience keyboard/screen-reader usable.</x:v>
      </x:c>
      <x:c r="F142" s="15" t="str">
        <x:v>Fix focus, labels, contrast, live streaming announcements, dialog/drawer behavior, image controls.</x:v>
      </x:c>
      <x:c r="G142" s="15" t="str">
        <x:v>Streaming must not announce every token.</x:v>
      </x:c>
      <x:c r="H142" s="15" t="str">
        <x:v>All frontend</x:v>
      </x:c>
      <x:c r="I142" s="15" t="str">
        <x:v>Automated axe-like checks + manual keyboard/screen-reader checklist.</x:v>
      </x:c>
      <x:c r="J142" s="15" t="str">
        <x:v>Core journeys are accessibility-aligned.</x:v>
      </x:c>
      <x:c r="K142" s="15" t="str">
        <x:v>Critical issues resolved.</x:v>
      </x:c>
      <x:c r="L142" s="15" t="str">
        <x:v>Must</x:v>
      </x:c>
      <x:c r="M142" s="15" t="str">
        <x:v>Not Started</x:v>
      </x:c>
      <x:c r="N142" s="15" t="str"/>
      <x:c r="O142" s="15" t="str"/>
      <x:c r="P142" s="15" t="str"/>
      <x:c r="Q142" s="15" t="str">
        <x:v>20,25</x:v>
      </x:c>
    </x:row>
    <x:row r="143">
      <x:c r="A143" s="15" t="str">
        <x:v>P10-07</x:v>
      </x:c>
      <x:c r="B143" s="15" t="n">
        <x:v>10</x:v>
      </x:c>
      <x:c r="C143" s="15" t="str">
        <x:v>Frontend</x:v>
      </x:c>
      <x:c r="D143" s="15" t="str">
        <x:v>Implement cold-start/connectivity UX</x:v>
      </x:c>
      <x:c r="E143" s="15" t="str">
        <x:v>Handle free backend reality gracefully.</x:v>
      </x:c>
      <x:c r="F143" s="15" t="str">
        <x:v>Detect initial backend delay/network loss; show Connecting; safe GET retries; preserve unsent draft locally where appropriate.</x:v>
      </x:c>
      <x:c r="G143" s="15" t="str">
        <x:v>Do not auto-retry non-idempotent submissions without protection.</x:v>
      </x:c>
      <x:c r="H143" s="15" t="str">
        <x:v>P23 deployment</x:v>
      </x:c>
      <x:c r="I143" s="15" t="str">
        <x:v>Render cold-start simulation/E2E.</x:v>
      </x:c>
      <x:c r="J143" s="15" t="str">
        <x:v>Free-tier sleep doesn't look like data loss.</x:v>
      </x:c>
      <x:c r="K143" s="15" t="str">
        <x:v>Tests pass.</x:v>
      </x:c>
      <x:c r="L143" s="15" t="str">
        <x:v>Must</x:v>
      </x:c>
      <x:c r="M143" s="15" t="str">
        <x:v>Not Started</x:v>
      </x:c>
      <x:c r="N143" s="15" t="str"/>
      <x:c r="O143" s="15" t="str"/>
      <x:c r="P143" s="15" t="str"/>
      <x:c r="Q143" s="15" t="str">
        <x:v>20,23</x:v>
      </x:c>
    </x:row>
    <x:row r="144">
      <x:c r="A144" s="15" t="str">
        <x:v>P10-08</x:v>
      </x:c>
      <x:c r="B144" s="15" t="n">
        <x:v>10</x:v>
      </x:c>
      <x:c r="C144" s="15" t="str">
        <x:v>Frontend</x:v>
      </x:c>
      <x:c r="D144" s="15" t="str">
        <x:v>Standardize error/empty/loading states</x:v>
      </x:c>
      <x:c r="E144" s="15" t="str">
        <x:v>Finish coherent product behavior.</x:v>
      </x:c>
      <x:c r="F144" s="15" t="str">
        <x:v>Map stable backend error codes to actionable messages for material, AI, retrieval, conflicts, auth.</x:v>
      </x:c>
      <x:c r="G144" s="15" t="str">
        <x:v>Unknown errors show correlation ID.</x:v>
      </x:c>
      <x:c r="H144" s="15" t="str">
        <x:v>Backend error catalog</x:v>
      </x:c>
      <x:c r="I144" s="15" t="str">
        <x:v>Component/E2E state matrix.</x:v>
      </x:c>
      <x:c r="J144" s="15" t="str">
        <x:v>Failures are understandable and recoverable.</x:v>
      </x:c>
      <x:c r="K144" s="15" t="str">
        <x:v>Tests pass.</x:v>
      </x:c>
      <x:c r="L144" s="15" t="str">
        <x:v>Must</x:v>
      </x:c>
      <x:c r="M144" s="15" t="str">
        <x:v>Not Started</x:v>
      </x:c>
      <x:c r="N144" s="15" t="str"/>
      <x:c r="O144" s="15" t="str"/>
      <x:c r="P144" s="15" t="str"/>
      <x:c r="Q144" s="15" t="str">
        <x:v>19,20,24</x:v>
      </x:c>
    </x:row>
    <x:row r="145">
      <x:c r="A145" s="15" t="str">
        <x:v>P10-09</x:v>
      </x:c>
      <x:c r="B145" s="15" t="n">
        <x:v>10</x:v>
      </x:c>
      <x:c r="C145" s="15" t="str">
        <x:v>Performance</x:v>
      </x:c>
      <x:c r="D145" s="15" t="str">
        <x:v>Frontend performance pass</x:v>
      </x:c>
      <x:c r="E145" s="15" t="str">
        <x:v>Keep core experience responsive.</x:v>
      </x:c>
      <x:c r="F145" s="15" t="str">
        <x:v>Route code-splitting, lazy PDF/image viewer, avoid over-fetching, virtualize large structure trees where needed.</x:v>
      </x:c>
      <x:c r="G145" s="15" t="str">
        <x:v>Measure realistic devices.</x:v>
      </x:c>
      <x:c r="H145" s="15" t="str">
        <x:v>Complete UI</x:v>
      </x:c>
      <x:c r="I145" s="15" t="str">
        <x:v>Build analysis + performance smoke tests.</x:v>
      </x:c>
      <x:c r="J145" s="15" t="str">
        <x:v>No obvious large-document UI freeze.</x:v>
      </x:c>
      <x:c r="K145" s="15" t="str">
        <x:v>Performance notes recorded.</x:v>
      </x:c>
      <x:c r="L145" s="15" t="str">
        <x:v>Should</x:v>
      </x:c>
      <x:c r="M145" s="15" t="str">
        <x:v>Not Started</x:v>
      </x:c>
      <x:c r="N145" s="15" t="str"/>
      <x:c r="O145" s="15" t="str"/>
      <x:c r="P145" s="15" t="str"/>
      <x:c r="Q145" s="15" t="str">
        <x:v>20</x:v>
      </x:c>
    </x:row>
    <x:row r="146">
      <x:c r="A146" s="15" t="str">
        <x:v>P10-10</x:v>
      </x:c>
      <x:c r="B146" s="15" t="n">
        <x:v>10</x:v>
      </x:c>
      <x:c r="C146" s="15" t="str">
        <x:v>Gate</x:v>
      </x:c>
      <x:c r="D146" s="15" t="str">
        <x:v>Phase 10 complete UX gate</x:v>
      </x:c>
      <x:c r="E146" s="15" t="str">
        <x:v>Prove full user journey feels like one product.</x:v>
      </x:c>
      <x:c r="F146" s="15" t="str">
        <x:v>Login → home → subject/topic → material → mission → review/progress on desktop/mobile.</x:v>
      </x:c>
      <x:c r="G146" s="15" t="str">
        <x:v>All P10</x:v>
      </x:c>
      <x:c r="H146" s="15" t="str">
        <x:v>Full Playwright journey/accessibility review.</x:v>
      </x:c>
      <x:c r="I146" s="15" t="str">
        <x:v>Hippocampus feels coherent, not a feature collection.</x:v>
      </x:c>
      <x:c r="J146" s="15" t="str">
        <x:v>Gate evidence recorded.</x:v>
      </x:c>
      <x:c r="K146" s="15" t="str">
        <x:v>Must</x:v>
      </x:c>
      <x:c r="L146" s="15" t="str">
        <x:v>26</x:v>
      </x:c>
      <x:c r="M146" s="15" t="str">
        <x:v>Not Started</x:v>
      </x:c>
      <x:c r="N146" s="15" t="str"/>
      <x:c r="O146" s="15" t="str"/>
      <x:c r="P146" s="15" t="str"/>
      <x:c r="Q146" s="15" t="str"/>
    </x:row>
    <x:row r="147">
      <x:c r="A147" s="15" t="str">
        <x:v>P11-01</x:v>
      </x:c>
      <x:c r="B147" s="15" t="n">
        <x:v>11</x:v>
      </x:c>
      <x:c r="C147" s="15" t="str">
        <x:v>Security</x:v>
      </x:c>
      <x:c r="D147" s="15" t="str">
        <x:v>Run full SAST baseline</x:v>
      </x:c>
      <x:c r="E147" s="15" t="str">
        <x:v>Detect code-level security issues.</x:v>
      </x:c>
      <x:c r="F147" s="15" t="str">
        <x:v>Run chosen CodeQL/FindSecBugs/Semgrep combination on backend/frontend and triage findings.</x:v>
      </x:c>
      <x:c r="G147" s="15" t="str">
        <x:v>False positives documented narrowly.</x:v>
      </x:c>
      <x:c r="H147" s="15" t="str">
        <x:v>Code complete</x:v>
      </x:c>
      <x:c r="I147" s="15" t="str">
        <x:v>Security report review.</x:v>
      </x:c>
      <x:c r="J147" s="15" t="str">
        <x:v>No unresolved exploitable Critical findings.</x:v>
      </x:c>
      <x:c r="K147" s="15" t="str">
        <x:v>Report attached.</x:v>
      </x:c>
      <x:c r="L147" s="15" t="str">
        <x:v>Must</x:v>
      </x:c>
      <x:c r="M147" s="15" t="str">
        <x:v>Not Started</x:v>
      </x:c>
      <x:c r="N147" s="15" t="str"/>
      <x:c r="O147" s="15" t="str"/>
      <x:c r="P147" s="15" t="str"/>
      <x:c r="Q147" s="15" t="str">
        <x:v>25</x:v>
      </x:c>
    </x:row>
    <x:row r="148">
      <x:c r="A148" s="15" t="str">
        <x:v>P11-02</x:v>
      </x:c>
      <x:c r="B148" s="15" t="n">
        <x:v>11</x:v>
      </x:c>
      <x:c r="C148" s="15" t="str">
        <x:v>Security</x:v>
      </x:c>
      <x:c r="D148" s="15" t="str">
        <x:v>Run SCA/dependency audit</x:v>
      </x:c>
      <x:c r="E148" s="15" t="str">
        <x:v>Detect vulnerable Maven/npm dependencies.</x:v>
      </x:c>
      <x:c r="F148" s="15" t="str">
        <x:v>Run Dependabot/OWASP dependency checks/npm audit supplemental review; patch or document findings.</x:v>
      </x:c>
      <x:c r="G148" s="15" t="str">
        <x:v>Versions follow Doc 17 policy.</x:v>
      </x:c>
      <x:c r="H148" s="15" t="str">
        <x:v>Dependencies</x:v>
      </x:c>
      <x:c r="I148" s="15" t="str">
        <x:v>Report + upgrade regression.</x:v>
      </x:c>
      <x:c r="J148" s="15" t="str">
        <x:v>No release-blocking dependency vulnerabilities.</x:v>
      </x:c>
      <x:c r="K148" s="15" t="str">
        <x:v>Gate satisfied.</x:v>
      </x:c>
      <x:c r="L148" s="15" t="str">
        <x:v>Must</x:v>
      </x:c>
      <x:c r="M148" s="15" t="str">
        <x:v>Not Started</x:v>
      </x:c>
      <x:c r="N148" s="15" t="str"/>
      <x:c r="O148" s="15" t="str"/>
      <x:c r="P148" s="15" t="str"/>
      <x:c r="Q148" s="15" t="str">
        <x:v>25</x:v>
      </x:c>
    </x:row>
    <x:row r="149">
      <x:c r="A149" s="15" t="str">
        <x:v>P11-03</x:v>
      </x:c>
      <x:c r="B149" s="15" t="n">
        <x:v>11</x:v>
      </x:c>
      <x:c r="C149" s="15" t="str">
        <x:v>Security</x:v>
      </x:c>
      <x:c r="D149" s="15" t="str">
        <x:v>Run secret exposure audit</x:v>
      </x:c>
      <x:c r="E149" s="15" t="str">
        <x:v>Prove keys are absent from repo/build/logs.</x:v>
      </x:c>
      <x:c r="F149" s="15" t="str">
        <x:v>Run Gitleaks/GitHub scanning and inspect frontend build artifacts/log samples.</x:v>
      </x:c>
      <x:c r="G149" s="15" t="str">
        <x:v>Any exposed key is revoked/rotated.</x:v>
      </x:c>
      <x:c r="H149" s="15" t="str">
        <x:v>Build artifacts</x:v>
      </x:c>
      <x:c r="I149" s="15" t="str">
        <x:v>Synthetic pattern and real scan.</x:v>
      </x:c>
      <x:c r="J149" s="15" t="str">
        <x:v>No active secrets exposed.</x:v>
      </x:c>
      <x:c r="K149" s="15" t="str">
        <x:v>Scan passes.</x:v>
      </x:c>
      <x:c r="L149" s="15" t="str">
        <x:v>Must</x:v>
      </x:c>
      <x:c r="M149" s="15" t="str">
        <x:v>Not Started</x:v>
      </x:c>
      <x:c r="N149" s="15" t="str"/>
      <x:c r="O149" s="15" t="str"/>
      <x:c r="P149" s="15" t="str"/>
      <x:c r="Q149" s="15" t="str">
        <x:v>22,25</x:v>
      </x:c>
    </x:row>
    <x:row r="150">
      <x:c r="A150" s="15" t="str">
        <x:v>P11-04</x:v>
      </x:c>
      <x:c r="B150" s="15" t="n">
        <x:v>11</x:v>
      </x:c>
      <x:c r="C150" s="15" t="str">
        <x:v>Security</x:v>
      </x:c>
      <x:c r="D150" s="15" t="str">
        <x:v>Run container image scan</x:v>
      </x:c>
      <x:c r="E150" s="15" t="str">
        <x:v>Check backend runtime/base image.</x:v>
      </x:c>
      <x:c r="F150" s="15" t="str">
        <x:v>Use Trivy or approved scanner; review OS/JRE/dependency findings and Docker config.</x:v>
      </x:c>
      <x:c r="G150" s="15" t="str">
        <x:v>Run non-root where practical.</x:v>
      </x:c>
      <x:c r="H150" s="15" t="str">
        <x:v>Docker image</x:v>
      </x:c>
      <x:c r="I150" s="15" t="str">
        <x:v>Scan report + runtime user check.</x:v>
      </x:c>
      <x:c r="J150" s="15" t="str">
        <x:v>No release-blocking image vulnerability.</x:v>
      </x:c>
      <x:c r="K150" s="15" t="str">
        <x:v>Report attached.</x:v>
      </x:c>
      <x:c r="L150" s="15" t="str">
        <x:v>Must</x:v>
      </x:c>
      <x:c r="M150" s="15" t="str">
        <x:v>Not Started</x:v>
      </x:c>
      <x:c r="N150" s="15" t="str"/>
      <x:c r="O150" s="15" t="str"/>
      <x:c r="P150" s="15" t="str"/>
      <x:c r="Q150" s="15" t="str">
        <x:v>25</x:v>
      </x:c>
    </x:row>
    <x:row r="151">
      <x:c r="A151" s="15" t="str">
        <x:v>P11-05</x:v>
      </x:c>
      <x:c r="B151" s="15" t="n">
        <x:v>11</x:v>
      </x:c>
      <x:c r="C151" s="15" t="str">
        <x:v>Security</x:v>
      </x:c>
      <x:c r="D151" s="15" t="str">
        <x:v>Run DAST/API security suite</x:v>
      </x:c>
      <x:c r="E151" s="15" t="str">
        <x:v>Challenge deployed controlled environment.</x:v>
      </x:c>
      <x:c r="F151" s="15" t="str">
        <x:v>Use OWASP ZAP/manual API cases for auth, headers, methods, common web weaknesses.</x:v>
      </x:c>
      <x:c r="G151" s="15" t="str">
        <x:v>Never run destructive test against real pilot data.</x:v>
      </x:c>
      <x:c r="H151" s="15" t="str">
        <x:v>Test environment</x:v>
      </x:c>
      <x:c r="I151" s="15" t="str">
        <x:v>DAST report.</x:v>
      </x:c>
      <x:c r="J151" s="15" t="str">
        <x:v>No critical web/API vulnerability.</x:v>
      </x:c>
      <x:c r="K151" s="15" t="str">
        <x:v>Findings resolved/accepted.</x:v>
      </x:c>
      <x:c r="L151" s="15" t="str">
        <x:v>Must</x:v>
      </x:c>
      <x:c r="M151" s="15" t="str">
        <x:v>Not Started</x:v>
      </x:c>
      <x:c r="N151" s="15" t="str"/>
      <x:c r="O151" s="15" t="str"/>
      <x:c r="P151" s="15" t="str"/>
      <x:c r="Q151" s="15" t="str">
        <x:v>25</x:v>
      </x:c>
    </x:row>
    <x:row r="152">
      <x:c r="A152" s="15" t="str">
        <x:v>P11-06</x:v>
      </x:c>
      <x:c r="B152" s="15" t="n">
        <x:v>11</x:v>
      </x:c>
      <x:c r="C152" s="15" t="str">
        <x:v>Security</x:v>
      </x:c>
      <x:c r="D152" s="15" t="str">
        <x:v>Run explicit IDOR/CSRF/CORS/XSS suite</x:v>
      </x:c>
      <x:c r="E152" s="15" t="str">
        <x:v>Validate core web trust boundaries.</x:v>
      </x:c>
      <x:c r="F152" s="15" t="str">
        <x:v>Execute User A/B resources, missing CSRF, bad origins, malicious topic/source/AI markdown payloads.</x:v>
      </x:c>
      <x:c r="G152" s="15" t="str">
        <x:v>0 cross-user access; scripts inert.</x:v>
      </x:c>
      <x:c r="H152" s="15" t="str">
        <x:v>Complete app</x:v>
      </x:c>
      <x:c r="I152" s="15" t="str">
        <x:v>Automated security integration/E2E.</x:v>
      </x:c>
      <x:c r="J152" s="15" t="str">
        <x:v>Trust boundaries hold.</x:v>
      </x:c>
      <x:c r="K152" s="15" t="str">
        <x:v>Tests pass.</x:v>
      </x:c>
      <x:c r="L152" s="15" t="str">
        <x:v>Must</x:v>
      </x:c>
      <x:c r="M152" s="15" t="str">
        <x:v>Not Started</x:v>
      </x:c>
      <x:c r="N152" s="15" t="str"/>
      <x:c r="O152" s="15" t="str"/>
      <x:c r="P152" s="15" t="str"/>
      <x:c r="Q152" s="15" t="str">
        <x:v>22,25</x:v>
      </x:c>
    </x:row>
    <x:row r="153">
      <x:c r="A153" s="15" t="str">
        <x:v>P11-07</x:v>
      </x:c>
      <x:c r="B153" s="15" t="n">
        <x:v>11</x:v>
      </x:c>
      <x:c r="C153" s="15" t="str">
        <x:v>Security</x:v>
      </x:c>
      <x:c r="D153" s="15" t="str">
        <x:v>Run upload/parser abuse suite</x:v>
      </x:c>
      <x:c r="E153" s="15" t="str">
        <x:v>Protect ingestion availability.</x:v>
      </x:c>
      <x:c r="F153" s="15" t="str">
        <x:v>Test disguised MIME, traversal filename, corrupt/encrypted/extreme pages, oversized image, resource amplification and stage timeouts.</x:v>
      </x:c>
      <x:c r="G153" s="15" t="str">
        <x:v>One file cannot crash whole service.</x:v>
      </x:c>
      <x:c r="H153" s="15" t="str">
        <x:v>P3 pipeline</x:v>
      </x:c>
      <x:c r="I153" s="15" t="str">
        <x:v>Security fixtures/load.</x:v>
      </x:c>
      <x:c r="J153" s="15" t="str">
        <x:v>Unsafe files fail safely.</x:v>
      </x:c>
      <x:c r="K153" s="15" t="str">
        <x:v>Tests pass.</x:v>
      </x:c>
      <x:c r="L153" s="15" t="str">
        <x:v>Must</x:v>
      </x:c>
      <x:c r="M153" s="15" t="str">
        <x:v>Not Started</x:v>
      </x:c>
      <x:c r="N153" s="15" t="str"/>
      <x:c r="O153" s="15" t="str"/>
      <x:c r="P153" s="15" t="str"/>
      <x:c r="Q153" s="15" t="str">
        <x:v>21,25</x:v>
      </x:c>
    </x:row>
    <x:row r="154">
      <x:c r="A154" s="15" t="str">
        <x:v>P11-08</x:v>
      </x:c>
      <x:c r="B154" s="15" t="n">
        <x:v>11</x:v>
      </x:c>
      <x:c r="C154" s="15" t="str">
        <x:v>Security</x:v>
      </x:c>
      <x:c r="D154" s="15" t="str">
        <x:v>Run prompt injection/RAG forgery suite</x:v>
      </x:c>
      <x:c r="E154" s="15" t="str">
        <x:v>Prove AI cannot escalate authority.</x:v>
      </x:c>
      <x:c r="F154" s="15" t="str">
        <x:v>Inject source/student instructions, request system prompt/cross-user data, forged source refs.</x:v>
      </x:c>
      <x:c r="G154" s="15" t="str">
        <x:v>Scope/grounding/validation remain unchanged.</x:v>
      </x:c>
      <x:c r="H154" s="15" t="str">
        <x:v>AI/RAG</x:v>
      </x:c>
      <x:c r="I154" s="15" t="str">
        <x:v>Golden adversarial cases.</x:v>
      </x:c>
      <x:c r="J154" s="15" t="str">
        <x:v>No authority or data-scope escalation.</x:v>
      </x:c>
      <x:c r="K154" s="15" t="str">
        <x:v>Tests pass.</x:v>
      </x:c>
      <x:c r="L154" s="15" t="str">
        <x:v>Must</x:v>
      </x:c>
      <x:c r="M154" s="15" t="str">
        <x:v>Not Started</x:v>
      </x:c>
      <x:c r="N154" s="15" t="str"/>
      <x:c r="O154" s="15" t="str"/>
      <x:c r="P154" s="15" t="str"/>
      <x:c r="Q154" s="15" t="str">
        <x:v>22,25</x:v>
      </x:c>
    </x:row>
    <x:row r="155">
      <x:c r="A155" s="15" t="str">
        <x:v>P11-09</x:v>
      </x:c>
      <x:c r="B155" s="15" t="n">
        <x:v>11</x:v>
      </x:c>
      <x:c r="C155" s="15" t="str">
        <x:v>Reliability</x:v>
      </x:c>
      <x:c r="D155" s="15" t="str">
        <x:v>Run provider outage/fallback drills</x:v>
      </x:c>
      <x:c r="E155" s="15" t="str">
        <x:v>Validate graceful AI degradation.</x:v>
      </x:c>
      <x:c r="F155" s="15" t="str">
        <x:v>Simulate Gemini down, Ollama down, both down, auth failure, rate limit, timeout.</x:v>
      </x:c>
      <x:c r="G155" s="15" t="str">
        <x:v>Student work preserved; fallback only when compatible.</x:v>
      </x:c>
      <x:c r="H155" s="15" t="str">
        <x:v>AI layer</x:v>
      </x:c>
      <x:c r="I155" s="15" t="str">
        <x:v>Resilience integration tests.</x:v>
      </x:c>
      <x:c r="J155" s="15" t="str">
        <x:v>System remains consistent and transparent.</x:v>
      </x:c>
      <x:c r="K155" s="15" t="str">
        <x:v>Tests pass.</x:v>
      </x:c>
      <x:c r="L155" s="15" t="str">
        <x:v>Must</x:v>
      </x:c>
      <x:c r="M155" s="15" t="str">
        <x:v>Not Started</x:v>
      </x:c>
      <x:c r="N155" s="15" t="str"/>
      <x:c r="O155" s="15" t="str"/>
      <x:c r="P155" s="15" t="str"/>
      <x:c r="Q155" s="15" t="str">
        <x:v>24,25</x:v>
      </x:c>
    </x:row>
    <x:row r="156">
      <x:c r="A156" s="15" t="str">
        <x:v>P11-10</x:v>
      </x:c>
      <x:c r="B156" s="15" t="n">
        <x:v>11</x:v>
      </x:c>
      <x:c r="C156" s="15" t="str">
        <x:v>Reliability</x:v>
      </x:c>
      <x:c r="D156" s="15" t="str">
        <x:v>Run Neon/R2/backend restart drills</x:v>
      </x:c>
      <x:c r="E156" s="15" t="str">
        <x:v>Validate persistence/recovery.</x:v>
      </x:c>
      <x:c r="F156" s="15" t="str">
        <x:v>Simulate DB unavailable, R2 timeout, Render restart mid-job/mission.</x:v>
      </x:c>
      <x:c r="G156" s="15" t="str">
        <x:v>No fake persistence; jobs resume; mission state remains consistent.</x:v>
      </x:c>
      <x:c r="H156" s="15" t="str">
        <x:v>Infrastructure abstractions</x:v>
      </x:c>
      <x:c r="I156" s="15" t="str">
        <x:v>Controlled failure tests.</x:v>
      </x:c>
      <x:c r="J156" s="15" t="str">
        <x:v>Recovery matches runbooks.</x:v>
      </x:c>
      <x:c r="K156" s="15" t="str">
        <x:v>Tests pass.</x:v>
      </x:c>
      <x:c r="L156" s="15" t="str">
        <x:v>Must</x:v>
      </x:c>
      <x:c r="M156" s="15" t="str">
        <x:v>Not Started</x:v>
      </x:c>
      <x:c r="N156" s="15" t="str"/>
      <x:c r="O156" s="15" t="str"/>
      <x:c r="P156" s="15" t="str"/>
      <x:c r="Q156" s="15" t="str">
        <x:v>24,25</x:v>
      </x:c>
    </x:row>
    <x:row r="157">
      <x:c r="A157" s="15" t="str">
        <x:v>P11-11</x:v>
      </x:c>
      <x:c r="B157" s="15" t="n">
        <x:v>11</x:v>
      </x:c>
      <x:c r="C157" s="15" t="str">
        <x:v>Operations</x:v>
      </x:c>
      <x:c r="D157" s="15" t="str">
        <x:v>Verify kill switches and incident runbooks</x:v>
      </x:c>
      <x:c r="E157" s="15" t="str">
        <x:v>Ensure team can contain failures.</x:v>
      </x:c>
      <x:c r="F157" s="15" t="str">
        <x:v>Test config disable for providers/uploads/OCR/large processing; verify provider key rotation and incident steps.</x:v>
      </x:c>
      <x:c r="G157" s="15" t="str">
        <x:v>Core data remains available where safe.</x:v>
      </x:c>
      <x:c r="H157" s="15" t="str">
        <x:v>Feature flags/config</x:v>
      </x:c>
      <x:c r="I157" s="15" t="str">
        <x:v>Manual drill checklist.</x:v>
      </x:c>
      <x:c r="J157" s="15" t="str">
        <x:v>High-risk capability can be disabled without code rewrite.</x:v>
      </x:c>
      <x:c r="K157" s="15" t="str">
        <x:v>Runbook evidence recorded.</x:v>
      </x:c>
      <x:c r="L157" s="15" t="str">
        <x:v>Should</x:v>
      </x:c>
      <x:c r="M157" s="15" t="str">
        <x:v>Not Started</x:v>
      </x:c>
      <x:c r="N157" s="15" t="str"/>
      <x:c r="O157" s="15" t="str"/>
      <x:c r="P157" s="15" t="str"/>
      <x:c r="Q157" s="15" t="str">
        <x:v>22,24</x:v>
      </x:c>
    </x:row>
    <x:row r="158">
      <x:c r="A158" s="15" t="str">
        <x:v>P11-12</x:v>
      </x:c>
      <x:c r="B158" s="15" t="n">
        <x:v>11</x:v>
      </x:c>
      <x:c r="C158" s="15" t="str">
        <x:v>Gate</x:v>
      </x:c>
      <x:c r="D158" s="15" t="str">
        <x:v>Phase 11 security/reliability gate</x:v>
      </x:c>
      <x:c r="E158" s="15" t="str">
        <x:v>Decide whether release is safe enough for pilot.</x:v>
      </x:c>
      <x:c r="F158" s="15" t="str">
        <x:v>Aggregate all security scans, adversarial tests and resilience results; classify remaining findings.</x:v>
      </x:c>
      <x:c r="G158" s="15" t="str">
        <x:v>Critical exploitable issues block.</x:v>
      </x:c>
      <x:c r="H158" s="15" t="str">
        <x:v>All P11</x:v>
      </x:c>
      <x:c r="I158" s="15" t="str">
        <x:v>Formal checklist review.</x:v>
      </x:c>
      <x:c r="J158" s="15" t="str">
        <x:v>No release-blocking security/reliability issue.</x:v>
      </x:c>
      <x:c r="K158" s="15" t="str">
        <x:v>Gate signed/recorded.</x:v>
      </x:c>
      <x:c r="L158" s="15" t="str">
        <x:v>Must</x:v>
      </x:c>
      <x:c r="M158" s="15" t="str">
        <x:v>Not Started</x:v>
      </x:c>
      <x:c r="N158" s="15" t="str"/>
      <x:c r="O158" s="15" t="str"/>
      <x:c r="P158" s="15" t="str"/>
      <x:c r="Q158" s="15" t="str">
        <x:v>25,26</x:v>
      </x:c>
    </x:row>
    <x:row r="159">
      <x:c r="A159" s="15" t="str">
        <x:v>P12-01</x:v>
      </x:c>
      <x:c r="B159" s="15" t="n">
        <x:v>12</x:v>
      </x:c>
      <x:c r="C159" s="15" t="str">
        <x:v>Evaluation</x:v>
      </x:c>
      <x:c r="D159" s="15" t="str">
        <x:v>Run final Golden RAG evaluation</x:v>
      </x:c>
      <x:c r="E159" s="15" t="str">
        <x:v>Prove retrieval quality on representative medical sources.</x:v>
      </x:c>
      <x:c r="F159" s="15" t="str">
        <x:v>Execute versioned dataset across exact, semantic, mixed, visual queries; capture Recall@K/Precision@K/MRR and failure cases.</x:v>
      </x:c>
      <x:c r="G159" s="15" t="str">
        <x:v>Use final active index generation.</x:v>
      </x:c>
      <x:c r="H159" s="15" t="str">
        <x:v>P4/P9</x:v>
      </x:c>
      <x:c r="I159" s="15" t="str">
        <x:v>Automated evaluation run.</x:v>
      </x:c>
      <x:c r="J159" s="15" t="str">
        <x:v>Metrics meet documented pilot threshold; failures understood.</x:v>
      </x:c>
      <x:c r="K159" s="15" t="str">
        <x:v>Report/version stored.</x:v>
      </x:c>
      <x:c r="L159" s="15" t="str">
        <x:v>Must</x:v>
      </x:c>
      <x:c r="M159" s="15" t="str">
        <x:v>Not Started</x:v>
      </x:c>
      <x:c r="N159" s="15" t="str"/>
      <x:c r="O159" s="15" t="str"/>
      <x:c r="P159" s="15" t="str"/>
      <x:c r="Q159" s="15" t="str">
        <x:v>15,25</x:v>
      </x:c>
    </x:row>
    <x:row r="160">
      <x:c r="A160" s="15" t="str">
        <x:v>P12-02</x:v>
      </x:c>
      <x:c r="B160" s="15" t="n">
        <x:v>12</x:v>
      </x:c>
      <x:c r="C160" s="15" t="str">
        <x:v>Evaluation</x:v>
      </x:c>
      <x:c r="D160" s="15" t="str">
        <x:v>Run final AI task evaluation</x:v>
      </x:c>
      <x:c r="E160" s="15" t="str">
        <x:v>Validate Gemini/Ollama task quality and routing.</x:v>
      </x:c>
      <x:c r="F160" s="15" t="str">
        <x:v>Evaluate explanation, questions, response evaluation, connections, scenarios, visual tasks where supported using shared rubrics.</x:v>
      </x:c>
      <x:c r="G160" s="15" t="str">
        <x:v>Record provider/model/prompt versions.</x:v>
      </x:c>
      <x:c r="H160" s="15" t="str">
        <x:v>P5-P9</x:v>
      </x:c>
      <x:c r="I160" s="15" t="str">
        <x:v>Golden AI evaluation.</x:v>
      </x:c>
      <x:c r="J160" s="15" t="str">
        <x:v>Routing choices have evidence and core tasks pass quality gates.</x:v>
      </x:c>
      <x:c r="K160" s="15" t="str">
        <x:v>Report stored.</x:v>
      </x:c>
      <x:c r="L160" s="15" t="str">
        <x:v>Must</x:v>
      </x:c>
      <x:c r="M160" s="15" t="str">
        <x:v>Not Started</x:v>
      </x:c>
      <x:c r="N160" s="15" t="str"/>
      <x:c r="O160" s="15" t="str"/>
      <x:c r="P160" s="15" t="str"/>
      <x:c r="Q160" s="15" t="str">
        <x:v>15,25</x:v>
      </x:c>
    </x:row>
    <x:row r="161">
      <x:c r="A161" s="15" t="str">
        <x:v>P12-03</x:v>
      </x:c>
      <x:c r="B161" s="15" t="n">
        <x:v>12</x:v>
      </x:c>
      <x:c r="C161" s="15" t="str">
        <x:v>Evaluation</x:v>
      </x:c>
      <x:c r="D161" s="15" t="str">
        <x:v>Review medical correctness sample</x:v>
      </x:c>
      <x:c r="E161" s="15" t="str">
        <x:v>Add qualified human review for high-impact task samples.</x:v>
      </x:c>
      <x:c r="F161" s="15" t="str">
        <x:v>Review representative generated explanations/evaluations/scenarios for correctness, overreach and clarity.</x:v>
      </x:c>
      <x:c r="G161" s="15" t="str">
        <x:v>Student feedback does not replace correctness review.</x:v>
      </x:c>
      <x:c r="H161" s="15" t="str">
        <x:v>AI evaluation</x:v>
      </x:c>
      <x:c r="I161" s="15" t="str">
        <x:v>Reviewer rubric.</x:v>
      </x:c>
      <x:c r="J161" s="15" t="str">
        <x:v>No systematic dangerous medical error.</x:v>
      </x:c>
      <x:c r="K161" s="15" t="str">
        <x:v>Findings addressed.</x:v>
      </x:c>
      <x:c r="L161" s="15" t="str">
        <x:v>Must</x:v>
      </x:c>
      <x:c r="M161" s="15" t="str">
        <x:v>Not Started</x:v>
      </x:c>
      <x:c r="N161" s="15" t="str"/>
      <x:c r="O161" s="15" t="str"/>
      <x:c r="P161" s="15" t="str"/>
      <x:c r="Q161" s="15" t="str">
        <x:v>15,25</x:v>
      </x:c>
    </x:row>
    <x:row r="162">
      <x:c r="A162" s="15" t="str">
        <x:v>P12-04</x:v>
      </x:c>
      <x:c r="B162" s="15" t="n">
        <x:v>12</x:v>
      </x:c>
      <x:c r="C162" s="15" t="str">
        <x:v>Performance</x:v>
      </x:c>
      <x:c r="D162" s="15" t="str">
        <x:v>Benchmark ingestion capacity</x:v>
      </x:c>
      <x:c r="E162" s="15" t="str">
        <x:v>Measure real large-file resource use.</x:v>
      </x:c>
      <x:c r="F162" s="15" t="str">
        <x:v>Process native/scanned/mixed 600+ page materials; record time, peak memory, chunks, storage growth, retries.</x:v>
      </x:c>
      <x:c r="G162" s="15" t="str">
        <x:v>Use pilot-like limits.</x:v>
      </x:c>
      <x:c r="H162" s="15" t="str">
        <x:v>P3</x:v>
      </x:c>
      <x:c r="I162" s="15" t="str">
        <x:v>Benchmark suite.</x:v>
      </x:c>
      <x:c r="J162" s="15" t="str">
        <x:v>Configured limits are evidence-based.</x:v>
      </x:c>
      <x:c r="K162" s="15" t="str">
        <x:v>Results documented.</x:v>
      </x:c>
      <x:c r="L162" s="15" t="str">
        <x:v>Must</x:v>
      </x:c>
      <x:c r="M162" s="15" t="str">
        <x:v>Not Started</x:v>
      </x:c>
      <x:c r="N162" s="15" t="str"/>
      <x:c r="O162" s="15" t="str"/>
      <x:c r="P162" s="15" t="str"/>
      <x:c r="Q162" s="15" t="str">
        <x:v>21,25</x:v>
      </x:c>
    </x:row>
    <x:row r="163">
      <x:c r="A163" s="15" t="str">
        <x:v>P12-05</x:v>
      </x:c>
      <x:c r="B163" s="15" t="n">
        <x:v>12</x:v>
      </x:c>
      <x:c r="C163" s="15" t="str">
        <x:v>Performance</x:v>
      </x:c>
      <x:c r="D163" s="15" t="str">
        <x:v>Run 10-user load profile</x:v>
      </x:c>
      <x:c r="E163" s="15" t="str">
        <x:v>Establish baseline pilot behavior.</x:v>
      </x:c>
      <x:c r="F163" s="15" t="str">
        <x:v>Simulate realistic mix of browsing, missions, AI, one/few uploads.</x:v>
      </x:c>
      <x:c r="G163" s="15" t="str">
        <x:v>Not 10 infinite simultaneous generations.</x:v>
      </x:c>
      <x:c r="H163" s="15" t="str">
        <x:v>Complete system</x:v>
      </x:c>
      <x:c r="I163" s="15" t="str">
        <x:v>Load test.</x:v>
      </x:c>
      <x:c r="J163" s="15" t="str">
        <x:v>Latency/queues/resources acceptable.</x:v>
      </x:c>
      <x:c r="K163" s="15" t="str">
        <x:v>Metrics stored.</x:v>
      </x:c>
      <x:c r="L163" s="15" t="str">
        <x:v>Must</x:v>
      </x:c>
      <x:c r="M163" s="15" t="str">
        <x:v>Not Started</x:v>
      </x:c>
      <x:c r="N163" s="15" t="str"/>
      <x:c r="O163" s="15" t="str"/>
      <x:c r="P163" s="15" t="str"/>
      <x:c r="Q163" s="15" t="str">
        <x:v>25</x:v>
      </x:c>
    </x:row>
    <x:row r="164">
      <x:c r="A164" s="15" t="str">
        <x:v>P12-06</x:v>
      </x:c>
      <x:c r="B164" s="15" t="n">
        <x:v>12</x:v>
      </x:c>
      <x:c r="C164" s="15" t="str">
        <x:v>Performance</x:v>
      </x:c>
      <x:c r="D164" s="15" t="str">
        <x:v>Run 20-user load profile</x:v>
      </x:c>
      <x:c r="E164" s="15" t="str">
        <x:v>Validate scaling trend.</x:v>
      </x:c>
      <x:c r="F164" s="15" t="str">
        <x:v>Repeat realistic mixed workload and observe DB/provider/backend pressure.</x:v>
      </x:c>
      <x:c r="G164" s="15" t="str">
        <x:v>Compare to 10-user baseline.</x:v>
      </x:c>
      <x:c r="H164" s="15" t="str">
        <x:v>10-user test</x:v>
      </x:c>
      <x:c r="I164" s="15" t="str">
        <x:v>Load test.</x:v>
      </x:c>
      <x:c r="J164" s="15" t="str">
        <x:v>No unstable queue/storage growth.</x:v>
      </x:c>
      <x:c r="K164" s="15" t="str">
        <x:v>Metrics stored.</x:v>
      </x:c>
      <x:c r="L164" s="15" t="str">
        <x:v>Must</x:v>
      </x:c>
      <x:c r="M164" s="15" t="str">
        <x:v>Not Started</x:v>
      </x:c>
      <x:c r="N164" s="15" t="str"/>
      <x:c r="O164" s="15" t="str"/>
      <x:c r="P164" s="15" t="str"/>
      <x:c r="Q164" s="15" t="str">
        <x:v>25</x:v>
      </x:c>
    </x:row>
    <x:row r="165">
      <x:c r="A165" s="15" t="str">
        <x:v>P12-07</x:v>
      </x:c>
      <x:c r="B165" s="15" t="n">
        <x:v>12</x:v>
      </x:c>
      <x:c r="C165" s="15" t="str">
        <x:v>Performance</x:v>
      </x:c>
      <x:c r="D165" s="15" t="str">
        <x:v>Run 40-user load profile</x:v>
      </x:c>
      <x:c r="E165" s="15" t="str">
        <x:v>Validate target pilot capacity.</x:v>
      </x:c>
      <x:c r="F165" s="15" t="str">
        <x:v>Simulate approximately 40 invited-user behavior with bounded uploads/AI and concurrent missions.</x:v>
      </x:c>
      <x:c r="G165" s="15" t="str">
        <x:v>Respect provider free-tier test budget; mocks may supplement live quota tests.</x:v>
      </x:c>
      <x:c r="H165" s="15" t="str">
        <x:v>20-user test</x:v>
      </x:c>
      <x:c r="I165" s="15" t="str">
        <x:v>Load simulation + targeted live provider checks.</x:v>
      </x:c>
      <x:c r="J165" s="15" t="str">
        <x:v>System remains usable or explicit quotas/limits are adjusted before pilot.</x:v>
      </x:c>
      <x:c r="K165" s="15" t="str">
        <x:v>Capacity decision recorded.</x:v>
      </x:c>
      <x:c r="L165" s="15" t="str">
        <x:v>Must</x:v>
      </x:c>
      <x:c r="M165" s="15" t="str">
        <x:v>Not Started</x:v>
      </x:c>
      <x:c r="N165" s="15" t="str"/>
      <x:c r="O165" s="15" t="str"/>
      <x:c r="P165" s="15" t="str"/>
      <x:c r="Q165" s="15" t="str">
        <x:v>23,25,26</x:v>
      </x:c>
    </x:row>
    <x:row r="166">
      <x:c r="A166" s="15" t="str">
        <x:v>P12-08</x:v>
      </x:c>
      <x:c r="B166" s="15" t="n">
        <x:v>12</x:v>
      </x:c>
      <x:c r="C166" s="15" t="str">
        <x:v>Infrastructure</x:v>
      </x:c>
      <x:c r="D166" s="15" t="str">
        <x:v>Validate free-tier capacity and quotas</x:v>
      </x:c>
      <x:c r="E166" s="15" t="str">
        <x:v>Ensure PILOT-FREE limits are realistic.</x:v>
      </x:c>
      <x:c r="F166" s="15" t="str">
        <x:v>Measure Neon DB growth, R2 objects/storage, Render behavior/cold starts, Gemini/Ollama usage and projected exhaustion.</x:v>
      </x:c>
      <x:c r="G166" s="15" t="str">
        <x:v>Set warning/critical thresholds.</x:v>
      </x:c>
      <x:c r="H166" s="15" t="str">
        <x:v>Load/ingestion data</x:v>
      </x:c>
      <x:c r="I166" s="15" t="str">
        <x:v>Capacity spreadsheet/report.</x:v>
      </x:c>
      <x:c r="J166" s="15" t="str">
        <x:v>Pilot quotas prevent surprise exhaustion.</x:v>
      </x:c>
      <x:c r="K166" s="15" t="str">
        <x:v>Thresholds configured.</x:v>
      </x:c>
      <x:c r="L166" s="15" t="str">
        <x:v>Must</x:v>
      </x:c>
      <x:c r="M166" s="15" t="str">
        <x:v>Not Started</x:v>
      </x:c>
      <x:c r="N166" s="15" t="str"/>
      <x:c r="O166" s="15" t="str"/>
      <x:c r="P166" s="15" t="str"/>
      <x:c r="Q166" s="15" t="str">
        <x:v>23,24</x:v>
      </x:c>
    </x:row>
    <x:row r="167">
      <x:c r="A167" s="15" t="str">
        <x:v>P12-09</x:v>
      </x:c>
      <x:c r="B167" s="15" t="n">
        <x:v>12</x:v>
      </x:c>
      <x:c r="C167" s="15" t="str">
        <x:v>Operations</x:v>
      </x:c>
      <x:c r="D167" s="15" t="str">
        <x:v>Verify backup and restore</x:v>
      </x:c>
      <x:c r="E167" s="15" t="str">
        <x:v>Prove recoverability.</x:v>
      </x:c>
      <x:c r="F167" s="15" t="str">
        <x:v>Create pg_dump/approved backup, restore to isolated DB, run Flyway/schema/integrity smoke tests; verify source metadata consistency.</x:v>
      </x:c>
      <x:c r="G167" s="15" t="str">
        <x:v>Never overwrite pilot during test.</x:v>
      </x:c>
      <x:c r="H167" s="15" t="str">
        <x:v>P23 ops</x:v>
      </x:c>
      <x:c r="I167" s="15" t="str">
        <x:v>Restore checklist.</x:v>
      </x:c>
      <x:c r="J167" s="15" t="str">
        <x:v>Backup is actually usable.</x:v>
      </x:c>
      <x:c r="K167" s="15" t="str">
        <x:v>Restore evidence recorded.</x:v>
      </x:c>
      <x:c r="L167" s="15" t="str">
        <x:v>Must</x:v>
      </x:c>
      <x:c r="M167" s="15" t="str">
        <x:v>Not Started</x:v>
      </x:c>
      <x:c r="N167" s="15" t="str"/>
      <x:c r="O167" s="15" t="str"/>
      <x:c r="P167" s="15" t="str"/>
      <x:c r="Q167" s="15" t="str">
        <x:v>24,25</x:v>
      </x:c>
    </x:row>
    <x:row r="168">
      <x:c r="A168" s="15" t="str">
        <x:v>P12-10</x:v>
      </x:c>
      <x:c r="B168" s="15" t="n">
        <x:v>12</x:v>
      </x:c>
      <x:c r="C168" s="15" t="str">
        <x:v>E2E</x:v>
      </x:c>
      <x:c r="D168" s="15" t="str">
        <x:v>Run full release-candidate journey</x:v>
      </x:c>
      <x:c r="E168" s="15" t="str">
        <x:v>Validate complete student flow after all hardening.</x:v>
      </x:c>
      <x:c r="F168" s="15" t="str">
        <x:v>Login → organize → upload/process → study mission → visual task → evidence → review → progress → logout; include error recovery.</x:v>
      </x:c>
      <x:c r="G168" s="15" t="str">
        <x:v>Use RC deployment.</x:v>
      </x:c>
      <x:c r="H168" s="15" t="str">
        <x:v>All phases</x:v>
      </x:c>
      <x:c r="I168" s="15" t="str">
        <x:v>Playwright/manual exploratory/accessibility.</x:v>
      </x:c>
      <x:c r="J168" s="15" t="str">
        <x:v>Core product works end-to-end.</x:v>
      </x:c>
      <x:c r="K168" s="15" t="str">
        <x:v>RC E2E green.</x:v>
      </x:c>
      <x:c r="L168" s="15" t="str">
        <x:v>Must</x:v>
      </x:c>
      <x:c r="M168" s="15" t="str">
        <x:v>Not Started</x:v>
      </x:c>
      <x:c r="N168" s="15" t="str"/>
      <x:c r="O168" s="15" t="str"/>
      <x:c r="P168" s="15" t="str"/>
      <x:c r="Q168" s="15" t="str">
        <x:v>25</x:v>
      </x:c>
    </x:row>
    <x:row r="169">
      <x:c r="A169" s="15" t="str">
        <x:v>P12-11</x:v>
      </x:c>
      <x:c r="B169" s="15" t="n">
        <x:v>12</x:v>
      </x:c>
      <x:c r="C169" s="15" t="str">
        <x:v>Release</x:v>
      </x:c>
      <x:c r="D169" s="15" t="str">
        <x:v>Complete release gate checklist</x:v>
      </x:c>
      <x:c r="E169" s="15" t="str">
        <x:v>Make pilot decision explicit.</x:v>
      </x:c>
      <x:c r="F169" s="15" t="str">
        <x:v>Review all Document 25 blocking criteria, vulnerabilities, known limitations, privacy disclosure, runbooks and capacity.</x:v>
      </x:c>
      <x:c r="G169" s="15" t="str">
        <x:v>No unresolved blocker can be hand-waved.</x:v>
      </x:c>
      <x:c r="H169" s="15" t="str">
        <x:v>All P12</x:v>
      </x:c>
      <x:c r="I169" s="15" t="str">
        <x:v>Formal checklist.</x:v>
      </x:c>
      <x:c r="J169" s="15" t="str">
        <x:v>Hippocampus v1.0.0-RC approved or rejected with reasons.</x:v>
      </x:c>
      <x:c r="K169" s="15" t="str">
        <x:v>Decision recorded.</x:v>
      </x:c>
      <x:c r="L169" s="15" t="str">
        <x:v>Must</x:v>
      </x:c>
      <x:c r="M169" s="15" t="str">
        <x:v>Not Started</x:v>
      </x:c>
      <x:c r="N169" s="15" t="str"/>
      <x:c r="O169" s="15" t="str"/>
      <x:c r="P169" s="15" t="str"/>
      <x:c r="Q169" s="15" t="str">
        <x:v>25,26</x:v>
      </x:c>
    </x:row>
    <x:row r="170">
      <x:c r="A170" s="15" t="str">
        <x:v>P12-12</x:v>
      </x:c>
      <x:c r="B170" s="15" t="n">
        <x:v>12</x:v>
      </x:c>
      <x:c r="C170" s="15" t="str">
        <x:v>Pilot</x:v>
      </x:c>
      <x:c r="D170" s="15" t="str">
        <x:v>Prepare controlled pilot configuration</x:v>
      </x:c>
      <x:c r="E170" s="15" t="str">
        <x:v>Deploy only after gate passes.</x:v>
      </x:c>
      <x:c r="F170" s="15" t="str">
        <x:v>Configure invited users, quotas, monitoring thresholds, support/contact path, privacy/educational disclaimer and feedback/evaluation plan.</x:v>
      </x:c>
      <x:c r="G170" s="15" t="str">
        <x:v>PILOT-FREE remains controlled, non-commercial validation.</x:v>
      </x:c>
      <x:c r="H170" s="15" t="str">
        <x:v>Release gate</x:v>
      </x:c>
      <x:c r="I170" s="15" t="str">
        <x:v>Pilot smoke test.</x:v>
      </x:c>
      <x:c r="J170" s="15" t="str">
        <x:v>Environment is ready for real med-student use within known limits.</x:v>
      </x:c>
      <x:c r="K170" s="15" t="str">
        <x:v>M5 evidence complete.</x:v>
      </x:c>
      <x:c r="L170" s="15" t="str">
        <x:v>Must</x:v>
      </x:c>
      <x:c r="M170" s="15" t="str">
        <x:v>Not Started</x:v>
      </x:c>
      <x:c r="N170" s="15" t="str"/>
      <x:c r="O170" s="15" t="str"/>
      <x:c r="P170" s="15" t="str"/>
      <x:c r="Q170" s="15" t="str">
        <x:v>22,23,26</x:v>
      </x:c>
    </x:row>
  </x:sheetData>
  <x:conditionalFormatting sqref="M2:M170">
    <x:cfRule type="expression" dxfId="0" priority="1">
      <x:formula>M2="Done"</x:formula>
    </x:cfRule>
    <x:cfRule type="expression" dxfId="1" priority="2">
      <x:formula>M2="Blocked"</x:formula>
    </x:cfRule>
    <x:cfRule type="expression" dxfId="2" priority="3">
      <x:formula>M2="In Progress"</x:formula>
    </x:cfRule>
    <x:cfRule type="expression" dxfId="3" priority="4">
      <x:formula>M2="Ready for Review"</x:formula>
    </x:cfRule>
  </x:conditionalFormatting>
  <x:dataValidations count="2">
    <x:dataValidation type="list" sqref="L2:L170">
      <x:formula1>"Must,Should,Could"</x:formula1>
    </x:dataValidation>
    <x:dataValidation type="list" sqref="M2:M170">
      <x:formula1>"Not Started,In Progress,Blocked,Ready for 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70dd712b4147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52" hidden="0" customWidth="1"/>
    <x:col min="4" max="4" width="26" hidden="0" customWidth="1"/>
    <x:col min="5" max="5" width="11" hidden="0" customWidth="1"/>
    <x:col min="6" max="6" width="9" hidden="0" customWidth="1"/>
    <x:col min="7" max="7" width="12" hidden="0" customWidth="1"/>
    <x:col min="8" max="8" width="9" hidden="0" customWidth="1"/>
    <x:col min="9" max="9" width="12" hidden="0" customWidth="1"/>
    <x:col min="10" max="10" width="15" hidden="0" customWidth="1"/>
    <x:col min="11" max="11" width="38" hidden="0" customWidth="1"/>
  </x:cols>
  <x:sheetData>
    <x:row r="1">
      <x:c r="A1" s="6" t="str">
        <x:v>Phase</x:v>
      </x:c>
      <x:c r="B1" s="6" t="str">
        <x:v>Phase Name</x:v>
      </x:c>
      <x:c r="C1" s="6" t="str">
        <x:v>Primary Goal</x:v>
      </x:c>
      <x:c r="D1" s="6" t="str">
        <x:v>Milestone</x:v>
      </x:c>
      <x:c r="E1" s="6" t="str">
        <x:v>Total Tasks</x:v>
      </x:c>
      <x:c r="F1" s="6" t="str">
        <x:v>Done</x:v>
      </x:c>
      <x:c r="G1" s="6" t="str">
        <x:v>In Progress</x:v>
      </x:c>
      <x:c r="H1" s="6" t="str">
        <x:v>Blocked</x:v>
      </x:c>
      <x:c r="I1" s="6" t="str">
        <x:v>Completion %</x:v>
      </x:c>
      <x:c r="J1" s="6" t="str">
        <x:v>Gate Result</x:v>
      </x:c>
      <x:c r="K1" s="6" t="str">
        <x:v>Gate Evidence / Notes</x:v>
      </x:c>
    </x:row>
    <x:row r="2">
      <x:c r="A2" t="n">
        <x:v>0</x:v>
      </x:c>
      <x:c r="B2" t="str">
        <x:v>Engineering Foundation</x:v>
      </x:c>
      <x:c r="C2" s="12" t="str">
        <x:v>Reproducible Java/Spring + React foundation with DB, CI, security and architecture tests.</x:v>
      </x:c>
      <x:c r="D2" s="12" t="str">
        <x:v>M0 — Engineering Skeleton</x:v>
      </x:c>
      <x:c r="E2" t="n">
        <x:f>COUNTIF('Implementation Tracker'!$B$2:$B$170,A2)</x:f>
        <x:v>15</x:v>
      </x:c>
      <x:c r="F2" t="n">
        <x:f>COUNTIFS('Implementation Tracker'!$B$2:$B$170,A2,'Implementation Tracker'!$M$2:$M$170,"Done")</x:f>
        <x:v>0</x:v>
      </x:c>
      <x:c r="G2" t="n">
        <x:f>COUNTIFS('Implementation Tracker'!$B$2:$B$170,A2,'Implementation Tracker'!$M$2:$M$170,"In Progress")</x:f>
        <x:v>0</x:v>
      </x:c>
      <x:c r="H2" t="n">
        <x:f>COUNTIFS('Implementation Tracker'!$B$2:$B$170,A2,'Implementation Tracker'!$M$2:$M$170,"Blocked")</x:f>
        <x:v>0</x:v>
      </x:c>
      <x:c r="I2" s="18" t="n">
        <x:f>IF(E2=0,0,F2/E2)</x:f>
        <x:v>0</x:v>
      </x:c>
      <x:c r="J2" t="str">
        <x:v>Not Evaluated</x:v>
      </x:c>
      <x:c r="K2" s="12"/>
    </x:row>
    <x:row r="3">
      <x:c r="A3" t="n">
        <x:v>1</x:v>
      </x:c>
      <x:c r="B3" t="str">
        <x:v>Identity + Core Student Workspace</x:v>
      </x:c>
      <x:c r="C3" s="12" t="str">
        <x:v>Secure private student identity, session lifecycle and ownership boundary.</x:v>
      </x:c>
      <x:c r="D3" s="12" t="str">
        <x:v>—</x:v>
      </x:c>
      <x:c r="E3" t="n">
        <x:f>COUNTIF('Implementation Tracker'!$B$2:$B$170,A3)</x:f>
        <x:v>11</x:v>
      </x:c>
      <x:c r="F3" t="n">
        <x:f>COUNTIFS('Implementation Tracker'!$B$2:$B$170,A3,'Implementation Tracker'!$M$2:$M$170,"Done")</x:f>
        <x:v>0</x:v>
      </x:c>
      <x:c r="G3" t="n">
        <x:f>COUNTIFS('Implementation Tracker'!$B$2:$B$170,A3,'Implementation Tracker'!$M$2:$M$170,"In Progress")</x:f>
        <x:v>0</x:v>
      </x:c>
      <x:c r="H3" t="n">
        <x:f>COUNTIFS('Implementation Tracker'!$B$2:$B$170,A3,'Implementation Tracker'!$M$2:$M$170,"Blocked")</x:f>
        <x:v>0</x:v>
      </x:c>
      <x:c r="I3" s="18" t="n">
        <x:f>IF(E3=0,0,F3/E3)</x:f>
        <x:v>0</x:v>
      </x:c>
      <x:c r="J3" t="str">
        <x:v>Not Evaluated</x:v>
      </x:c>
      <x:c r="K3" s="12"/>
    </x:row>
    <x:row r="4">
      <x:c r="A4" t="n">
        <x:v>2</x:v>
      </x:c>
      <x:c r="B4" t="str">
        <x:v>Subjects + Topics + Learning Materials</x:v>
      </x:c>
      <x:c r="C4" s="12" t="str">
        <x:v>Students can organize subjects/topics and privately upload/manage learning materials.</x:v>
      </x:c>
      <x:c r="D4" s="12" t="str">
        <x:v>—</x:v>
      </x:c>
      <x:c r="E4" t="n">
        <x:f>COUNTIF('Implementation Tracker'!$B$2:$B$170,A4)</x:f>
        <x:v>13</x:v>
      </x:c>
      <x:c r="F4" t="n">
        <x:f>COUNTIFS('Implementation Tracker'!$B$2:$B$170,A4,'Implementation Tracker'!$M$2:$M$170,"Done")</x:f>
        <x:v>0</x:v>
      </x:c>
      <x:c r="G4" t="n">
        <x:f>COUNTIFS('Implementation Tracker'!$B$2:$B$170,A4,'Implementation Tracker'!$M$2:$M$170,"In Progress")</x:f>
        <x:v>0</x:v>
      </x:c>
      <x:c r="H4" t="n">
        <x:f>COUNTIFS('Implementation Tracker'!$B$2:$B$170,A4,'Implementation Tracker'!$M$2:$M$170,"Blocked")</x:f>
        <x:v>0</x:v>
      </x:c>
      <x:c r="I4" s="18" t="n">
        <x:f>IF(E4=0,0,F4/E4)</x:f>
        <x:v>0</x:v>
      </x:c>
      <x:c r="J4" t="str">
        <x:v>Not Evaluated</x:v>
      </x:c>
      <x:c r="K4" s="12"/>
    </x:row>
    <x:row r="5">
      <x:c r="A5" t="n">
        <x:v>3</x:v>
      </x:c>
      <x:c r="B5" t="str">
        <x:v>File Processing &amp; Ingestion</x:v>
      </x:c>
      <x:c r="C5" s="12" t="str">
        <x:v>Large/mixed medical files become structured, traceable chunks/visuals through durable processing.</x:v>
      </x:c>
      <x:c r="D5" s="12" t="str">
        <x:v>M1 — Material Workspace</x:v>
      </x:c>
      <x:c r="E5" t="n">
        <x:f>COUNTIF('Implementation Tracker'!$B$2:$B$170,A5)</x:f>
        <x:v>18</x:v>
      </x:c>
      <x:c r="F5" t="n">
        <x:f>COUNTIFS('Implementation Tracker'!$B$2:$B$170,A5,'Implementation Tracker'!$M$2:$M$170,"Done")</x:f>
        <x:v>0</x:v>
      </x:c>
      <x:c r="G5" t="n">
        <x:f>COUNTIFS('Implementation Tracker'!$B$2:$B$170,A5,'Implementation Tracker'!$M$2:$M$170,"In Progress")</x:f>
        <x:v>0</x:v>
      </x:c>
      <x:c r="H5" t="n">
        <x:f>COUNTIFS('Implementation Tracker'!$B$2:$B$170,A5,'Implementation Tracker'!$M$2:$M$170,"Blocked")</x:f>
        <x:v>0</x:v>
      </x:c>
      <x:c r="I5" s="18" t="n">
        <x:f>IF(E5=0,0,F5/E5)</x:f>
        <x:v>0</x:v>
      </x:c>
      <x:c r="J5" t="str">
        <x:v>Not Evaluated</x:v>
      </x:c>
      <x:c r="K5" s="12"/>
    </x:row>
    <x:row r="6">
      <x:c r="A6" t="n">
        <x:v>4</x:v>
      </x:c>
      <x:c r="B6" t="str">
        <x:v>Knowledge Base + RAG Foundation</x:v>
      </x:c>
      <x:c r="C6" s="12" t="str">
        <x:v>Authorized hybrid retrieval returns inspectable EvidencePackages before any generative AI.</x:v>
      </x:c>
      <x:c r="D6" s="12" t="str">
        <x:v>—</x:v>
      </x:c>
      <x:c r="E6" t="n">
        <x:f>COUNTIF('Implementation Tracker'!$B$2:$B$170,A6)</x:f>
        <x:v>14</x:v>
      </x:c>
      <x:c r="F6" t="n">
        <x:f>COUNTIFS('Implementation Tracker'!$B$2:$B$170,A6,'Implementation Tracker'!$M$2:$M$170,"Done")</x:f>
        <x:v>0</x:v>
      </x:c>
      <x:c r="G6" t="n">
        <x:f>COUNTIFS('Implementation Tracker'!$B$2:$B$170,A6,'Implementation Tracker'!$M$2:$M$170,"In Progress")</x:f>
        <x:v>0</x:v>
      </x:c>
      <x:c r="H6" t="n">
        <x:f>COUNTIFS('Implementation Tracker'!$B$2:$B$170,A6,'Implementation Tracker'!$M$2:$M$170,"Blocked")</x:f>
        <x:v>0</x:v>
      </x:c>
      <x:c r="I6" s="18" t="n">
        <x:f>IF(E6=0,0,F6/E6)</x:f>
        <x:v>0</x:v>
      </x:c>
      <x:c r="J6" t="str">
        <x:v>Not Evaluated</x:v>
      </x:c>
      <x:c r="K6" s="12"/>
    </x:row>
    <x:row r="7">
      <x:c r="A7" t="n">
        <x:v>5</x:v>
      </x:c>
      <x:c r="B7" t="str">
        <x:v>AI Provider &amp; Prompt Infrastructure</x:v>
      </x:c>
      <x:c r="C7" s="12" t="str">
        <x:v>Gemini and Ollama execute the same typed tasks behind provider-independent routing and validation.</x:v>
      </x:c>
      <x:c r="D7" s="12" t="str">
        <x:v>M2 — Grounded Intelligence</x:v>
      </x:c>
      <x:c r="E7" t="n">
        <x:f>COUNTIF('Implementation Tracker'!$B$2:$B$170,A7)</x:f>
        <x:v>14</x:v>
      </x:c>
      <x:c r="F7" t="n">
        <x:f>COUNTIFS('Implementation Tracker'!$B$2:$B$170,A7,'Implementation Tracker'!$M$2:$M$170,"Done")</x:f>
        <x:v>0</x:v>
      </x:c>
      <x:c r="G7" t="n">
        <x:f>COUNTIFS('Implementation Tracker'!$B$2:$B$170,A7,'Implementation Tracker'!$M$2:$M$170,"In Progress")</x:f>
        <x:v>0</x:v>
      </x:c>
      <x:c r="H7" t="n">
        <x:f>COUNTIFS('Implementation Tracker'!$B$2:$B$170,A7,'Implementation Tracker'!$M$2:$M$170,"Blocked")</x:f>
        <x:v>0</x:v>
      </x:c>
      <x:c r="I7" s="18" t="n">
        <x:f>IF(E7=0,0,F7/E7)</x:f>
        <x:v>0</x:v>
      </x:c>
      <x:c r="J7" t="str">
        <x:v>Not Evaluated</x:v>
      </x:c>
      <x:c r="K7" s="12"/>
    </x:row>
    <x:row r="8">
      <x:c r="A8" t="n">
        <x:v>6</x:v>
      </x:c>
      <x:c r="B8" t="str">
        <x:v>AI Learning Engine</x:v>
      </x:c>
      <x:c r="C8" s="12" t="str">
        <x:v>Deterministic Learning Engine selects appropriate next pedagogical action without LLM authority.</x:v>
      </x:c>
      <x:c r="D8" s="12" t="str">
        <x:v>—</x:v>
      </x:c>
      <x:c r="E8" t="n">
        <x:f>COUNTIF('Implementation Tracker'!$B$2:$B$170,A8)</x:f>
        <x:v>14</x:v>
      </x:c>
      <x:c r="F8" t="n">
        <x:f>COUNTIFS('Implementation Tracker'!$B$2:$B$170,A8,'Implementation Tracker'!$M$2:$M$170,"Done")</x:f>
        <x:v>0</x:v>
      </x:c>
      <x:c r="G8" t="n">
        <x:f>COUNTIFS('Implementation Tracker'!$B$2:$B$170,A8,'Implementation Tracker'!$M$2:$M$170,"In Progress")</x:f>
        <x:v>0</x:v>
      </x:c>
      <x:c r="H8" t="n">
        <x:f>COUNTIFS('Implementation Tracker'!$B$2:$B$170,A8,'Implementation Tracker'!$M$2:$M$170,"Blocked")</x:f>
        <x:v>0</x:v>
      </x:c>
      <x:c r="I8" s="18" t="n">
        <x:f>IF(E8=0,0,F8/E8)</x:f>
        <x:v>0</x:v>
      </x:c>
      <x:c r="J8" t="str">
        <x:v>Not Evaluated</x:v>
      </x:c>
      <x:c r="K8" s="12"/>
    </x:row>
    <x:row r="9">
      <x:c r="A9" t="n">
        <x:v>7</x:v>
      </x:c>
      <x:c r="B9" t="str">
        <x:v>Study Missions</x:v>
      </x:c>
      <x:c r="C9" s="12" t="str">
        <x:v>Student completes a full source-grounded Study Mission from explanation through application/feedback.</x:v>
      </x:c>
      <x:c r="D9" s="12" t="str">
        <x:v>M3 — First Hippocampus</x:v>
      </x:c>
      <x:c r="E9" t="n">
        <x:f>COUNTIF('Implementation Tracker'!$B$2:$B$170,A9)</x:f>
        <x:v>14</x:v>
      </x:c>
      <x:c r="F9" t="n">
        <x:f>COUNTIFS('Implementation Tracker'!$B$2:$B$170,A9,'Implementation Tracker'!$M$2:$M$170,"Done")</x:f>
        <x:v>0</x:v>
      </x:c>
      <x:c r="G9" t="n">
        <x:f>COUNTIFS('Implementation Tracker'!$B$2:$B$170,A9,'Implementation Tracker'!$M$2:$M$170,"In Progress")</x:f>
        <x:v>0</x:v>
      </x:c>
      <x:c r="H9" t="n">
        <x:f>COUNTIFS('Implementation Tracker'!$B$2:$B$170,A9,'Implementation Tracker'!$M$2:$M$170,"Blocked")</x:f>
        <x:v>0</x:v>
      </x:c>
      <x:c r="I9" s="18" t="n">
        <x:f>IF(E9=0,0,F9/E9)</x:f>
        <x:v>0</x:v>
      </x:c>
      <x:c r="J9" t="str">
        <x:v>Not Evaluated</x:v>
      </x:c>
      <x:c r="K9" s="12"/>
    </x:row>
    <x:row r="10">
      <x:c r="A10" t="n">
        <x:v>8</x:v>
      </x:c>
      <x:c r="B10" t="str">
        <x:v>Learning Evidence + Review System</x:v>
      </x:c>
      <x:c r="C10" s="12" t="str">
        <x:v>Attempts become traceable evidence and drive future review/learning across sessions.</x:v>
      </x:c>
      <x:c r="D10" s="12" t="str">
        <x:v>M4 — Adaptive Hippocampus</x:v>
      </x:c>
      <x:c r="E10" t="n">
        <x:f>COUNTIF('Implementation Tracker'!$B$2:$B$170,A10)</x:f>
        <x:v>12</x:v>
      </x:c>
      <x:c r="F10" t="n">
        <x:f>COUNTIFS('Implementation Tracker'!$B$2:$B$170,A10,'Implementation Tracker'!$M$2:$M$170,"Done")</x:f>
        <x:v>0</x:v>
      </x:c>
      <x:c r="G10" t="n">
        <x:f>COUNTIFS('Implementation Tracker'!$B$2:$B$170,A10,'Implementation Tracker'!$M$2:$M$170,"In Progress")</x:f>
        <x:v>0</x:v>
      </x:c>
      <x:c r="H10" t="n">
        <x:f>COUNTIFS('Implementation Tracker'!$B$2:$B$170,A10,'Implementation Tracker'!$M$2:$M$170,"Blocked")</x:f>
        <x:v>0</x:v>
      </x:c>
      <x:c r="I10" s="18" t="n">
        <x:f>IF(E10=0,0,F10/E10)</x:f>
        <x:v>0</x:v>
      </x:c>
      <x:c r="J10" t="str">
        <x:v>Not Evaluated</x:v>
      </x:c>
      <x:c r="K10" s="12"/>
    </x:row>
    <x:row r="11">
      <x:c r="A11" t="n">
        <x:v>9</x:v>
      </x:c>
      <x:c r="B11" t="str">
        <x:v>Visual &amp; Multimodal Learning</x:v>
      </x:c>
      <x:c r="C11" s="12" t="str">
        <x:v>Source visuals actively participate in retrieval, Study Missions and evidence.</x:v>
      </x:c>
      <x:c r="D11" s="12" t="str">
        <x:v>—</x:v>
      </x:c>
      <x:c r="E11" t="n">
        <x:f>COUNTIF('Implementation Tracker'!$B$2:$B$170,A11)</x:f>
        <x:v>10</x:v>
      </x:c>
      <x:c r="F11" t="n">
        <x:f>COUNTIFS('Implementation Tracker'!$B$2:$B$170,A11,'Implementation Tracker'!$M$2:$M$170,"Done")</x:f>
        <x:v>0</x:v>
      </x:c>
      <x:c r="G11" t="n">
        <x:f>COUNTIFS('Implementation Tracker'!$B$2:$B$170,A11,'Implementation Tracker'!$M$2:$M$170,"In Progress")</x:f>
        <x:v>0</x:v>
      </x:c>
      <x:c r="H11" t="n">
        <x:f>COUNTIFS('Implementation Tracker'!$B$2:$B$170,A11,'Implementation Tracker'!$M$2:$M$170,"Blocked")</x:f>
        <x:v>0</x:v>
      </x:c>
      <x:c r="I11" s="18" t="n">
        <x:f>IF(E11=0,0,F11/E11)</x:f>
        <x:v>0</x:v>
      </x:c>
      <x:c r="J11" t="str">
        <x:v>Not Evaluated</x:v>
      </x:c>
      <x:c r="K11" s="12"/>
    </x:row>
    <x:row r="12">
      <x:c r="A12" t="n">
        <x:v>10</x:v>
      </x:c>
      <x:c r="B12" t="str">
        <x:v>Complete Student Learning Experience</x:v>
      </x:c>
      <x:c r="C12" s="12" t="str">
        <x:v>All core capabilities form one accessible, responsive, guided student experience.</x:v>
      </x:c>
      <x:c r="D12" s="12" t="str">
        <x:v>—</x:v>
      </x:c>
      <x:c r="E12" t="n">
        <x:f>COUNTIF('Implementation Tracker'!$B$2:$B$170,A12)</x:f>
        <x:v>10</x:v>
      </x:c>
      <x:c r="F12" t="n">
        <x:f>COUNTIFS('Implementation Tracker'!$B$2:$B$170,A12,'Implementation Tracker'!$M$2:$M$170,"Done")</x:f>
        <x:v>0</x:v>
      </x:c>
      <x:c r="G12" t="n">
        <x:f>COUNTIFS('Implementation Tracker'!$B$2:$B$170,A12,'Implementation Tracker'!$M$2:$M$170,"In Progress")</x:f>
        <x:v>0</x:v>
      </x:c>
      <x:c r="H12" t="n">
        <x:f>COUNTIFS('Implementation Tracker'!$B$2:$B$170,A12,'Implementation Tracker'!$M$2:$M$170,"Blocked")</x:f>
        <x:v>0</x:v>
      </x:c>
      <x:c r="I12" s="18" t="n">
        <x:f>IF(E12=0,0,F12/E12)</x:f>
        <x:v>0</x:v>
      </x:c>
      <x:c r="J12" t="str">
        <x:v>Not Evaluated</x:v>
      </x:c>
      <x:c r="K12" s="12"/>
    </x:row>
    <x:row r="13">
      <x:c r="A13" t="n">
        <x:v>11</x:v>
      </x:c>
      <x:c r="B13" t="str">
        <x:v>Security + Reliability Hardening</x:v>
      </x:c>
      <x:c r="C13" s="12" t="str">
        <x:v>System withstands security/adversarial/dependency/provider/infrastructure failure tests.</x:v>
      </x:c>
      <x:c r="D13" s="12" t="str">
        <x:v>—</x:v>
      </x:c>
      <x:c r="E13" t="n">
        <x:f>COUNTIF('Implementation Tracker'!$B$2:$B$170,A13)</x:f>
        <x:v>12</x:v>
      </x:c>
      <x:c r="F13" t="n">
        <x:f>COUNTIFS('Implementation Tracker'!$B$2:$B$170,A13,'Implementation Tracker'!$M$2:$M$170,"Done")</x:f>
        <x:v>0</x:v>
      </x:c>
      <x:c r="G13" t="n">
        <x:f>COUNTIFS('Implementation Tracker'!$B$2:$B$170,A13,'Implementation Tracker'!$M$2:$M$170,"In Progress")</x:f>
        <x:v>0</x:v>
      </x:c>
      <x:c r="H13" t="n">
        <x:f>COUNTIFS('Implementation Tracker'!$B$2:$B$170,A13,'Implementation Tracker'!$M$2:$M$170,"Blocked")</x:f>
        <x:v>0</x:v>
      </x:c>
      <x:c r="I13" s="18" t="n">
        <x:f>IF(E13=0,0,F13/E13)</x:f>
        <x:v>0</x:v>
      </x:c>
      <x:c r="J13" t="str">
        <x:v>Not Evaluated</x:v>
      </x:c>
      <x:c r="K13" s="12"/>
    </x:row>
    <x:row r="14">
      <x:c r="A14" t="n">
        <x:v>12</x:v>
      </x:c>
      <x:c r="B14" t="str">
        <x:v>Evaluation + Performance + Pilot Readiness</x:v>
      </x:c>
      <x:c r="C14" s="12" t="str">
        <x:v>RAG/AI/ingestion/load/backup/E2E evidence supports controlled ~40-student pilot decision.</x:v>
      </x:c>
      <x:c r="D14" s="12" t="str">
        <x:v>M5 — Pilot Candidate</x:v>
      </x:c>
      <x:c r="E14" t="n">
        <x:f>COUNTIF('Implementation Tracker'!$B$2:$B$170,A14)</x:f>
        <x:v>12</x:v>
      </x:c>
      <x:c r="F14" t="n">
        <x:f>COUNTIFS('Implementation Tracker'!$B$2:$B$170,A14,'Implementation Tracker'!$M$2:$M$170,"Done")</x:f>
        <x:v>0</x:v>
      </x:c>
      <x:c r="G14" t="n">
        <x:f>COUNTIFS('Implementation Tracker'!$B$2:$B$170,A14,'Implementation Tracker'!$M$2:$M$170,"In Progress")</x:f>
        <x:v>0</x:v>
      </x:c>
      <x:c r="H14" t="n">
        <x:f>COUNTIFS('Implementation Tracker'!$B$2:$B$170,A14,'Implementation Tracker'!$M$2:$M$170,"Blocked")</x:f>
        <x:v>0</x:v>
      </x:c>
      <x:c r="I14" s="18" t="n">
        <x:f>IF(E14=0,0,F14/E14)</x:f>
        <x:v>0</x:v>
      </x:c>
      <x:c r="J14" t="str">
        <x:v>Not Evaluated</x:v>
      </x:c>
      <x:c r="K14" s="12"/>
    </x:row>
  </x:sheetData>
  <x:conditionalFormatting sqref="J2:J14">
    <x:cfRule type="expression" dxfId="4" priority="1">
      <x:formula>J2="PASS"</x:formula>
    </x:cfRule>
    <x:cfRule type="expression" dxfId="5" priority="2">
      <x:formula>J2="FAIL"</x:formula>
    </x:cfRule>
  </x:conditionalFormatting>
  <x:dataValidations count="1">
    <x:dataValidation type="list" sqref="J2:J14">
      <x:formula1>"Not Evaluated,PASS,FAIL"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d750403e564c25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D1" t="str">
        <x:v>Phase</x:v>
      </x:c>
      <x:c r="F1" t="str">
        <x:v>Gate Result</x:v>
      </x:c>
    </x:row>
    <x:row r="2">
      <x:c r="A2" t="str">
        <x:v>Not Started</x:v>
      </x:c>
      <x:c r="B2" t="str">
        <x:v>Must</x:v>
      </x:c>
      <x:c r="D2" t="n">
        <x:v>0</x:v>
      </x:c>
      <x:c r="F2" t="str">
        <x:v>Not Evaluated</x:v>
      </x:c>
    </x:row>
    <x:row r="3">
      <x:c r="A3" t="str">
        <x:v>In Progress</x:v>
      </x:c>
      <x:c r="B3" t="str">
        <x:v>Should</x:v>
      </x:c>
      <x:c r="D3" t="n">
        <x:v>1</x:v>
      </x:c>
      <x:c r="F3" t="str">
        <x:v>PASS</x:v>
      </x:c>
    </x:row>
    <x:row r="4">
      <x:c r="A4" t="str">
        <x:v>Blocked</x:v>
      </x:c>
      <x:c r="B4" t="str">
        <x:v>Could</x:v>
      </x:c>
      <x:c r="D4" t="n">
        <x:v>2</x:v>
      </x:c>
      <x:c r="F4" t="str">
        <x:v>FAIL</x:v>
      </x:c>
    </x:row>
    <x:row r="5">
      <x:c r="A5" t="str">
        <x:v>Ready for Review</x:v>
      </x:c>
      <x:c r="D5" t="n">
        <x:v>3</x:v>
      </x:c>
    </x:row>
    <x:row r="6">
      <x:c r="A6" t="str">
        <x:v>Done</x:v>
      </x:c>
      <x:c r="D6" t="n">
        <x:v>4</x:v>
      </x:c>
    </x:row>
    <x:row r="7">
      <x:c r="D7" t="n">
        <x:v>5</x:v>
      </x:c>
    </x:row>
    <x:row r="8">
      <x:c r="D8" t="n">
        <x:v>6</x:v>
      </x:c>
    </x:row>
    <x:row r="9">
      <x:c r="D9" t="n">
        <x:v>7</x:v>
      </x:c>
    </x:row>
    <x:row r="10">
      <x:c r="D10" t="n">
        <x:v>8</x:v>
      </x:c>
    </x:row>
    <x:row r="11">
      <x:c r="D11" t="n">
        <x:v>9</x:v>
      </x:c>
    </x:row>
    <x:row r="12">
      <x:c r="D12" t="n">
        <x:v>10</x:v>
      </x:c>
    </x:row>
    <x:row r="13">
      <x:c r="D13" t="n">
        <x:v>11</x:v>
      </x:c>
    </x:row>
    <x:row r="14">
      <x:c r="D14" t="n">
        <x:v>12</x:v>
      </x:c>
    </x:row>
  </x:sheetData>
  <x:pageMargins left="0.7" right="0.7" top="0.75" bottom="0.75" header="0.3" footer="0.3"/>
</x:worksheet>
</file>